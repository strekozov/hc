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13_ncr:1_{C98B14F5-B9E6-416C-BE00-132DC05B29AD}" xr6:coauthVersionLast="47" xr6:coauthVersionMax="47" xr10:uidLastSave="{00000000-0000-0000-0000-000000000000}"/>
  <bookViews>
    <workbookView xWindow="30" yWindow="390" windowWidth="20460" windowHeight="11070" firstSheet="6" activeTab="11" xr2:uid="{00000000-000D-0000-FFFF-FFFF00000000}"/>
  </bookViews>
  <sheets>
    <sheet name="ENERO-21 " sheetId="15" r:id="rId1"/>
    <sheet name="FEBRERO-21 " sheetId="28" r:id="rId2"/>
    <sheet name="MARZO-21" sheetId="36" r:id="rId3"/>
    <sheet name="ABRIL-21" sheetId="21" r:id="rId4"/>
    <sheet name="MAYO-21" sheetId="26" r:id="rId5"/>
    <sheet name="JUNIO-21" sheetId="9" r:id="rId6"/>
    <sheet name="JULIO-21" sheetId="10" r:id="rId7"/>
    <sheet name="AGOSTO-21" sheetId="11" r:id="rId8"/>
    <sheet name="SEPTIEMBRE-21 " sheetId="35" r:id="rId9"/>
    <sheet name="OCTUBRE-21" sheetId="34" r:id="rId10"/>
    <sheet name="NOVIEMBRE-21" sheetId="33" r:id="rId11"/>
    <sheet name="DICIEMBRE-21" sheetId="32" r:id="rId12"/>
    <sheet name="Hoja1" sheetId="31" r:id="rId13"/>
  </sheets>
  <definedNames>
    <definedName name="_xlnm.Print_Area" localSheetId="3">'ABRIL-21'!$B$2:$L$184</definedName>
    <definedName name="_xlnm.Print_Area" localSheetId="7">'AGOSTO-21'!$B$1:$L$104</definedName>
    <definedName name="_xlnm.Print_Area" localSheetId="11">'DICIEMBRE-21'!$B$1:$L$128</definedName>
    <definedName name="_xlnm.Print_Area" localSheetId="0">'ENERO-21 '!$B$1:$L$144</definedName>
    <definedName name="_xlnm.Print_Area" localSheetId="1">'FEBRERO-21 '!$B$1:$L$150</definedName>
    <definedName name="_xlnm.Print_Area" localSheetId="6">'JULIO-21'!$B$1:$L$184</definedName>
    <definedName name="_xlnm.Print_Area" localSheetId="5">'JUNIO-21'!$B$1:$L$169</definedName>
    <definedName name="_xlnm.Print_Area" localSheetId="2">'MARZO-21'!$B$1:$L$155</definedName>
    <definedName name="_xlnm.Print_Area" localSheetId="4">'MAYO-21'!$A$1:$L$137</definedName>
    <definedName name="_xlnm.Print_Area" localSheetId="10">'NOVIEMBRE-21'!$B$1:$L$134</definedName>
    <definedName name="_xlnm.Print_Area" localSheetId="9">'OCTUBRE-21'!$B$1:$L$134</definedName>
    <definedName name="_xlnm.Print_Area" localSheetId="8">'SEPTIEMBRE-21 '!$B$1:$L$133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7" i="32" l="1"/>
  <c r="F107" i="32"/>
  <c r="I55" i="32"/>
  <c r="F55" i="32"/>
  <c r="I107" i="33"/>
  <c r="F107" i="33"/>
  <c r="I55" i="33"/>
  <c r="F55" i="33"/>
  <c r="H52" i="34"/>
  <c r="F55" i="34" l="1"/>
  <c r="I55" i="34"/>
  <c r="J56" i="34"/>
  <c r="I107" i="35" l="1"/>
  <c r="F107" i="35"/>
  <c r="M51" i="35"/>
  <c r="I55" i="35"/>
  <c r="F55" i="35"/>
  <c r="D130" i="35"/>
  <c r="F130" i="35" s="1"/>
  <c r="E130" i="35"/>
  <c r="H130" i="35"/>
  <c r="J108" i="35"/>
  <c r="J109" i="35"/>
  <c r="J110" i="35" s="1"/>
  <c r="J111" i="35" s="1"/>
  <c r="J112" i="35" s="1"/>
  <c r="J113" i="35" s="1"/>
  <c r="J114" i="35" s="1"/>
  <c r="J115" i="35" s="1"/>
  <c r="J116" i="35" s="1"/>
  <c r="J117" i="35" s="1"/>
  <c r="J118" i="35" s="1"/>
  <c r="J119" i="35" s="1"/>
  <c r="J120" i="35" s="1"/>
  <c r="J121" i="35" s="1"/>
  <c r="J122" i="35" s="1"/>
  <c r="J123" i="35" s="1"/>
  <c r="J124" i="35" s="1"/>
  <c r="J125" i="35" s="1"/>
  <c r="J126" i="35" s="1"/>
  <c r="J127" i="35" s="1"/>
  <c r="J128" i="35" s="1"/>
  <c r="J129" i="35" s="1"/>
  <c r="I55" i="11"/>
  <c r="F55" i="11"/>
  <c r="I97" i="10"/>
  <c r="J98" i="10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5" i="10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H141" i="10"/>
  <c r="H181" i="10"/>
  <c r="D181" i="10"/>
  <c r="I144" i="10"/>
  <c r="D141" i="10"/>
  <c r="D94" i="10"/>
  <c r="D47" i="10"/>
  <c r="I50" i="10"/>
  <c r="F50" i="10"/>
  <c r="H47" i="10"/>
  <c r="H94" i="10"/>
  <c r="F144" i="10"/>
  <c r="F97" i="10"/>
  <c r="E141" i="10"/>
  <c r="K184" i="10"/>
  <c r="E181" i="10"/>
  <c r="F181" i="10" l="1"/>
  <c r="F141" i="10"/>
  <c r="M29" i="10" l="1"/>
  <c r="I147" i="9" l="1"/>
  <c r="F147" i="9"/>
  <c r="H144" i="9"/>
  <c r="G144" i="9"/>
  <c r="E144" i="9"/>
  <c r="D144" i="9"/>
  <c r="F144" i="9" s="1"/>
  <c r="J148" i="9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H96" i="9"/>
  <c r="F99" i="9"/>
  <c r="I51" i="9"/>
  <c r="F51" i="9"/>
  <c r="I144" i="9" l="1"/>
  <c r="D48" i="9"/>
  <c r="H48" i="9"/>
  <c r="G48" i="9"/>
  <c r="E48" i="9"/>
  <c r="I99" i="9"/>
  <c r="D165" i="9"/>
  <c r="E165" i="9"/>
  <c r="H165" i="9"/>
  <c r="F48" i="9" l="1"/>
  <c r="I48" i="9"/>
  <c r="F165" i="9"/>
  <c r="M31" i="9"/>
  <c r="I105" i="26"/>
  <c r="E134" i="26"/>
  <c r="D134" i="26"/>
  <c r="O108" i="26"/>
  <c r="I54" i="26" l="1"/>
  <c r="F54" i="26"/>
  <c r="M85" i="21"/>
  <c r="I98" i="21"/>
  <c r="J99" i="21"/>
  <c r="F98" i="21" l="1"/>
  <c r="M72" i="21" l="1"/>
  <c r="H95" i="21"/>
  <c r="E95" i="21"/>
  <c r="D95" i="21"/>
  <c r="I51" i="21"/>
  <c r="F51" i="21"/>
  <c r="F95" i="21" l="1"/>
  <c r="D127" i="21"/>
  <c r="E127" i="21"/>
  <c r="H127" i="21"/>
  <c r="F127" i="21" l="1"/>
  <c r="H141" i="36"/>
  <c r="G141" i="36"/>
  <c r="E141" i="36"/>
  <c r="D141" i="36"/>
  <c r="F141" i="36" l="1"/>
  <c r="I141" i="36"/>
  <c r="H96" i="36" l="1"/>
  <c r="H48" i="36"/>
  <c r="I99" i="36"/>
  <c r="F99" i="36"/>
  <c r="K100" i="36"/>
  <c r="I51" i="36"/>
  <c r="F51" i="36"/>
  <c r="K52" i="36"/>
  <c r="J100" i="28" l="1"/>
  <c r="J101" i="28" s="1"/>
  <c r="J102" i="28" s="1"/>
  <c r="J103" i="28" s="1"/>
  <c r="J104" i="28" s="1"/>
  <c r="J105" i="28" s="1"/>
  <c r="J106" i="28" s="1"/>
  <c r="J107" i="28" s="1"/>
  <c r="J108" i="28" s="1"/>
  <c r="J109" i="28" s="1"/>
  <c r="J110" i="28" s="1"/>
  <c r="J111" i="28" s="1"/>
  <c r="J112" i="28" s="1"/>
  <c r="J113" i="28" s="1"/>
  <c r="J114" i="28" s="1"/>
  <c r="J115" i="28" s="1"/>
  <c r="J116" i="28" s="1"/>
  <c r="J117" i="28" s="1"/>
  <c r="J118" i="28" s="1"/>
  <c r="J119" i="28" s="1"/>
  <c r="J120" i="28" s="1"/>
  <c r="J121" i="28" s="1"/>
  <c r="J122" i="28" s="1"/>
  <c r="J123" i="28" s="1"/>
  <c r="J124" i="28" s="1"/>
  <c r="J125" i="28" s="1"/>
  <c r="J126" i="28" s="1"/>
  <c r="J127" i="28" s="1"/>
  <c r="J128" i="28" s="1"/>
  <c r="J129" i="28" s="1"/>
  <c r="J130" i="28" s="1"/>
  <c r="J131" i="28" s="1"/>
  <c r="J132" i="28" s="1"/>
  <c r="J133" i="28" s="1"/>
  <c r="J134" i="28" s="1"/>
  <c r="J135" i="28" s="1"/>
  <c r="K100" i="28"/>
  <c r="K101" i="28" s="1"/>
  <c r="K102" i="28" s="1"/>
  <c r="K103" i="28" s="1"/>
  <c r="K104" i="28" s="1"/>
  <c r="K105" i="28" s="1"/>
  <c r="K106" i="28" s="1"/>
  <c r="K107" i="28" s="1"/>
  <c r="K108" i="28" s="1"/>
  <c r="K109" i="28" s="1"/>
  <c r="K110" i="28" s="1"/>
  <c r="K111" i="28" s="1"/>
  <c r="K112" i="28" s="1"/>
  <c r="K113" i="28" s="1"/>
  <c r="K114" i="28" s="1"/>
  <c r="K115" i="28" s="1"/>
  <c r="K116" i="28" s="1"/>
  <c r="K117" i="28" s="1"/>
  <c r="K118" i="28" s="1"/>
  <c r="K119" i="28" s="1"/>
  <c r="K120" i="28" s="1"/>
  <c r="K121" i="28" s="1"/>
  <c r="K122" i="28" s="1"/>
  <c r="K123" i="28" s="1"/>
  <c r="K124" i="28" s="1"/>
  <c r="K125" i="28" s="1"/>
  <c r="K126" i="28" s="1"/>
  <c r="K127" i="28" s="1"/>
  <c r="K128" i="28" s="1"/>
  <c r="K129" i="28" s="1"/>
  <c r="K130" i="28" s="1"/>
  <c r="K131" i="28" s="1"/>
  <c r="K132" i="28" s="1"/>
  <c r="K133" i="28" s="1"/>
  <c r="K134" i="28" s="1"/>
  <c r="K135" i="28" s="1"/>
  <c r="F99" i="28" l="1"/>
  <c r="I99" i="28"/>
  <c r="K52" i="28" l="1"/>
  <c r="K53" i="28" s="1"/>
  <c r="K54" i="28" s="1"/>
  <c r="K55" i="28" s="1"/>
  <c r="K56" i="28" s="1"/>
  <c r="K57" i="28" s="1"/>
  <c r="K58" i="28" s="1"/>
  <c r="K59" i="28" s="1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K94" i="28" s="1"/>
  <c r="I51" i="28"/>
  <c r="F51" i="28"/>
  <c r="J52" i="28"/>
  <c r="J53" i="28" s="1"/>
  <c r="J54" i="28" s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4" i="28" s="1"/>
  <c r="H141" i="15" l="1"/>
  <c r="D141" i="15"/>
  <c r="H94" i="15"/>
  <c r="D94" i="15"/>
  <c r="D47" i="15"/>
  <c r="K98" i="15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K110" i="15" s="1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J98" i="15"/>
  <c r="J99" i="15" s="1"/>
  <c r="J100" i="15" s="1"/>
  <c r="J101" i="15" s="1"/>
  <c r="J102" i="15" s="1"/>
  <c r="J103" i="15" s="1"/>
  <c r="J104" i="15" s="1"/>
  <c r="J105" i="15" s="1"/>
  <c r="J106" i="15" s="1"/>
  <c r="J107" i="15" s="1"/>
  <c r="J108" i="15" s="1"/>
  <c r="J109" i="15" s="1"/>
  <c r="J110" i="15" s="1"/>
  <c r="J111" i="15" s="1"/>
  <c r="J112" i="15" s="1"/>
  <c r="J113" i="15" s="1"/>
  <c r="J114" i="15" s="1"/>
  <c r="J115" i="15" s="1"/>
  <c r="J116" i="15" s="1"/>
  <c r="J117" i="15" s="1"/>
  <c r="J118" i="15" s="1"/>
  <c r="J119" i="15" s="1"/>
  <c r="J120" i="15" s="1"/>
  <c r="J121" i="15" s="1"/>
  <c r="J122" i="15" s="1"/>
  <c r="J123" i="15" s="1"/>
  <c r="J124" i="15" s="1"/>
  <c r="J125" i="15" s="1"/>
  <c r="J126" i="15" s="1"/>
  <c r="J127" i="15" s="1"/>
  <c r="J128" i="15" s="1"/>
  <c r="J129" i="15" s="1"/>
  <c r="J130" i="15" s="1"/>
  <c r="K51" i="15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J51" i="15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H47" i="15"/>
  <c r="G47" i="15"/>
  <c r="G94" i="15" s="1"/>
  <c r="E47" i="15"/>
  <c r="E94" i="15" s="1"/>
  <c r="E141" i="15"/>
  <c r="G141" i="15"/>
  <c r="J131" i="15" l="1"/>
  <c r="J133" i="15" s="1"/>
  <c r="J135" i="15" s="1"/>
  <c r="J137" i="15" s="1"/>
  <c r="J139" i="15" s="1"/>
  <c r="J132" i="15"/>
  <c r="J134" i="15" s="1"/>
  <c r="J136" i="15" s="1"/>
  <c r="J138" i="15" s="1"/>
  <c r="J140" i="15" s="1"/>
  <c r="F47" i="15"/>
  <c r="I94" i="15"/>
  <c r="J88" i="15"/>
  <c r="J90" i="15" s="1"/>
  <c r="J92" i="15" s="1"/>
  <c r="J87" i="15"/>
  <c r="J89" i="15" s="1"/>
  <c r="J91" i="15" s="1"/>
  <c r="J93" i="15" s="1"/>
  <c r="I97" i="15" l="1"/>
  <c r="F97" i="15"/>
  <c r="I50" i="15" l="1"/>
  <c r="F50" i="15"/>
  <c r="K128" i="32" l="1"/>
  <c r="H125" i="32"/>
  <c r="E125" i="32"/>
  <c r="D125" i="32"/>
  <c r="H104" i="32"/>
  <c r="G104" i="32"/>
  <c r="G125" i="32" s="1"/>
  <c r="E104" i="32"/>
  <c r="D104" i="32"/>
  <c r="H52" i="32"/>
  <c r="G52" i="32"/>
  <c r="E52" i="32"/>
  <c r="D52" i="32"/>
  <c r="K5" i="32"/>
  <c r="K6" i="32" s="1"/>
  <c r="K7" i="32" s="1"/>
  <c r="K8" i="32" s="1"/>
  <c r="K9" i="32" s="1"/>
  <c r="K10" i="32" s="1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K38" i="32" s="1"/>
  <c r="K39" i="32" s="1"/>
  <c r="K40" i="32" s="1"/>
  <c r="K41" i="32" s="1"/>
  <c r="K42" i="32" s="1"/>
  <c r="K43" i="32" s="1"/>
  <c r="K44" i="32" s="1"/>
  <c r="K45" i="32" s="1"/>
  <c r="J5" i="32"/>
  <c r="J6" i="32" s="1"/>
  <c r="J7" i="32" s="1"/>
  <c r="J8" i="32" s="1"/>
  <c r="J9" i="32" s="1"/>
  <c r="J10" i="32" s="1"/>
  <c r="J11" i="32" s="1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32" i="32" s="1"/>
  <c r="J33" i="32" s="1"/>
  <c r="J34" i="32" s="1"/>
  <c r="J35" i="32" s="1"/>
  <c r="J36" i="32" s="1"/>
  <c r="J37" i="32" s="1"/>
  <c r="J38" i="32" s="1"/>
  <c r="J39" i="32" s="1"/>
  <c r="J40" i="32" s="1"/>
  <c r="J41" i="32" s="1"/>
  <c r="J42" i="32" s="1"/>
  <c r="J43" i="32" s="1"/>
  <c r="J44" i="32" s="1"/>
  <c r="J45" i="32" s="1"/>
  <c r="K120" i="33"/>
  <c r="H117" i="33"/>
  <c r="E117" i="33"/>
  <c r="D117" i="33"/>
  <c r="H104" i="33"/>
  <c r="G104" i="33"/>
  <c r="E104" i="33"/>
  <c r="D104" i="33"/>
  <c r="F104" i="33" s="1"/>
  <c r="H52" i="33"/>
  <c r="G52" i="33"/>
  <c r="E52" i="33"/>
  <c r="D52" i="33"/>
  <c r="K5" i="33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6" i="33" s="1"/>
  <c r="J5" i="33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K134" i="34"/>
  <c r="H131" i="34"/>
  <c r="E131" i="34"/>
  <c r="D131" i="34"/>
  <c r="H104" i="34"/>
  <c r="G104" i="34"/>
  <c r="G131" i="34" s="1"/>
  <c r="I131" i="34" s="1"/>
  <c r="E104" i="34"/>
  <c r="D104" i="34"/>
  <c r="G52" i="34"/>
  <c r="E52" i="34"/>
  <c r="D52" i="34"/>
  <c r="K5" i="34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6" i="34" s="1"/>
  <c r="J5" i="34"/>
  <c r="J6" i="34" s="1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K133" i="35"/>
  <c r="H104" i="35"/>
  <c r="G104" i="35"/>
  <c r="G130" i="35" s="1"/>
  <c r="E104" i="35"/>
  <c r="D104" i="35"/>
  <c r="H52" i="35"/>
  <c r="G52" i="35"/>
  <c r="E52" i="35"/>
  <c r="D52" i="35"/>
  <c r="K5" i="35"/>
  <c r="K6" i="35" s="1"/>
  <c r="K7" i="35" s="1"/>
  <c r="K8" i="35" s="1"/>
  <c r="K9" i="35" s="1"/>
  <c r="K10" i="35" s="1"/>
  <c r="K11" i="35" s="1"/>
  <c r="K12" i="35" s="1"/>
  <c r="J5" i="35"/>
  <c r="J6" i="35" s="1"/>
  <c r="J7" i="35" s="1"/>
  <c r="J8" i="35" s="1"/>
  <c r="J9" i="35" s="1"/>
  <c r="J10" i="35" s="1"/>
  <c r="J11" i="35" s="1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K104" i="11"/>
  <c r="H101" i="11"/>
  <c r="G101" i="11"/>
  <c r="E101" i="11"/>
  <c r="D101" i="11"/>
  <c r="H52" i="11"/>
  <c r="G52" i="11"/>
  <c r="E52" i="11"/>
  <c r="D52" i="11"/>
  <c r="K5" i="1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G94" i="10"/>
  <c r="I94" i="10" s="1"/>
  <c r="E94" i="10"/>
  <c r="G47" i="10"/>
  <c r="E47" i="10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51" i="10" s="1"/>
  <c r="J5" i="10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K168" i="9"/>
  <c r="G96" i="9"/>
  <c r="G165" i="9" s="1"/>
  <c r="E96" i="9"/>
  <c r="D96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H134" i="26"/>
  <c r="H102" i="26"/>
  <c r="G102" i="26"/>
  <c r="G134" i="26" s="1"/>
  <c r="I134" i="26" s="1"/>
  <c r="E102" i="26"/>
  <c r="D102" i="26"/>
  <c r="H51" i="26"/>
  <c r="G51" i="26"/>
  <c r="E51" i="26"/>
  <c r="D51" i="26"/>
  <c r="K5" i="26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5" i="26" s="1"/>
  <c r="J5" i="26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K130" i="21"/>
  <c r="G95" i="21"/>
  <c r="H48" i="21"/>
  <c r="G48" i="21"/>
  <c r="E48" i="21"/>
  <c r="D48" i="21"/>
  <c r="K5" i="21"/>
  <c r="K6" i="21" s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52" i="21" s="1"/>
  <c r="J5" i="2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K144" i="36"/>
  <c r="G96" i="36"/>
  <c r="E96" i="36"/>
  <c r="D96" i="36"/>
  <c r="G48" i="36"/>
  <c r="E48" i="36"/>
  <c r="D48" i="36"/>
  <c r="K5" i="36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J5" i="36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2" l="1"/>
  <c r="J47" i="32" s="1"/>
  <c r="J48" i="32" s="1"/>
  <c r="J49" i="32" s="1"/>
  <c r="J50" i="32" s="1"/>
  <c r="J51" i="32" s="1"/>
  <c r="J56" i="32" s="1"/>
  <c r="J57" i="32" s="1"/>
  <c r="J58" i="32" s="1"/>
  <c r="J59" i="32" s="1"/>
  <c r="J60" i="32" s="1"/>
  <c r="J61" i="32" s="1"/>
  <c r="J62" i="32" s="1"/>
  <c r="J63" i="32" s="1"/>
  <c r="J64" i="32" s="1"/>
  <c r="J65" i="32" s="1"/>
  <c r="J66" i="32" s="1"/>
  <c r="J67" i="32" s="1"/>
  <c r="J68" i="32" s="1"/>
  <c r="J69" i="32" s="1"/>
  <c r="J70" i="32" s="1"/>
  <c r="J71" i="32" s="1"/>
  <c r="J72" i="32" s="1"/>
  <c r="J73" i="32" s="1"/>
  <c r="J74" i="32" s="1"/>
  <c r="J75" i="32" s="1"/>
  <c r="J76" i="32" s="1"/>
  <c r="J77" i="32" s="1"/>
  <c r="J78" i="32" s="1"/>
  <c r="J79" i="32" s="1"/>
  <c r="J80" i="32" s="1"/>
  <c r="J81" i="32" s="1"/>
  <c r="J82" i="32" s="1"/>
  <c r="J83" i="32" s="1"/>
  <c r="J84" i="32" s="1"/>
  <c r="J85" i="32" s="1"/>
  <c r="J86" i="32" s="1"/>
  <c r="J87" i="32" s="1"/>
  <c r="J88" i="32" s="1"/>
  <c r="J89" i="32" s="1"/>
  <c r="J90" i="32" s="1"/>
  <c r="J91" i="32" s="1"/>
  <c r="J92" i="32" s="1"/>
  <c r="J93" i="32" s="1"/>
  <c r="J94" i="32" s="1"/>
  <c r="J95" i="32" s="1"/>
  <c r="J96" i="32" s="1"/>
  <c r="K46" i="32"/>
  <c r="K47" i="32" s="1"/>
  <c r="K48" i="32" s="1"/>
  <c r="K49" i="32" s="1"/>
  <c r="K50" i="32" s="1"/>
  <c r="K51" i="32" s="1"/>
  <c r="K56" i="32" s="1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K84" i="32" s="1"/>
  <c r="K85" i="32" s="1"/>
  <c r="K86" i="32" s="1"/>
  <c r="K87" i="32" s="1"/>
  <c r="K88" i="32" s="1"/>
  <c r="K89" i="32" s="1"/>
  <c r="K90" i="32" s="1"/>
  <c r="K91" i="32" s="1"/>
  <c r="K92" i="32" s="1"/>
  <c r="K93" i="32" s="1"/>
  <c r="K94" i="32" s="1"/>
  <c r="K95" i="32" s="1"/>
  <c r="K96" i="32" s="1"/>
  <c r="F104" i="32"/>
  <c r="F125" i="32"/>
  <c r="I125" i="32"/>
  <c r="F52" i="32"/>
  <c r="I52" i="32"/>
  <c r="F117" i="33"/>
  <c r="J46" i="33"/>
  <c r="J47" i="33" s="1"/>
  <c r="J48" i="33" s="1"/>
  <c r="J49" i="33" s="1"/>
  <c r="J50" i="33" s="1"/>
  <c r="J51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J84" i="33" s="1"/>
  <c r="J85" i="33" s="1"/>
  <c r="J86" i="33" s="1"/>
  <c r="J87" i="33" s="1"/>
  <c r="J88" i="33" s="1"/>
  <c r="J89" i="33" s="1"/>
  <c r="J90" i="33" s="1"/>
  <c r="J91" i="33" s="1"/>
  <c r="J92" i="33" s="1"/>
  <c r="J93" i="33" s="1"/>
  <c r="J94" i="33" s="1"/>
  <c r="J95" i="33" s="1"/>
  <c r="J96" i="33" s="1"/>
  <c r="J97" i="33" s="1"/>
  <c r="J98" i="33" s="1"/>
  <c r="J99" i="33" s="1"/>
  <c r="J100" i="33" s="1"/>
  <c r="J101" i="33" s="1"/>
  <c r="J102" i="33" s="1"/>
  <c r="J103" i="33" s="1"/>
  <c r="F52" i="33"/>
  <c r="I104" i="33"/>
  <c r="K57" i="33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K84" i="33" s="1"/>
  <c r="K85" i="33" s="1"/>
  <c r="K86" i="33" s="1"/>
  <c r="K87" i="33" s="1"/>
  <c r="K88" i="33" s="1"/>
  <c r="K89" i="33" s="1"/>
  <c r="K90" i="33" s="1"/>
  <c r="K91" i="33" s="1"/>
  <c r="K92" i="33" s="1"/>
  <c r="K93" i="33" s="1"/>
  <c r="K94" i="33" s="1"/>
  <c r="K95" i="33" s="1"/>
  <c r="K96" i="33" s="1"/>
  <c r="K97" i="33" s="1"/>
  <c r="K98" i="33" s="1"/>
  <c r="K99" i="33" s="1"/>
  <c r="K100" i="33" s="1"/>
  <c r="K101" i="33" s="1"/>
  <c r="K102" i="33" s="1"/>
  <c r="K103" i="33" s="1"/>
  <c r="I52" i="33"/>
  <c r="J57" i="34"/>
  <c r="F52" i="34"/>
  <c r="I52" i="34"/>
  <c r="F104" i="34"/>
  <c r="F131" i="34"/>
  <c r="J58" i="34"/>
  <c r="J59" i="34" s="1"/>
  <c r="J60" i="34" s="1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J84" i="34" s="1"/>
  <c r="J85" i="34" s="1"/>
  <c r="J86" i="34" s="1"/>
  <c r="J87" i="34" s="1"/>
  <c r="J88" i="34" s="1"/>
  <c r="J89" i="34" s="1"/>
  <c r="J90" i="34" s="1"/>
  <c r="J91" i="34" s="1"/>
  <c r="J92" i="34" s="1"/>
  <c r="J93" i="34" s="1"/>
  <c r="J94" i="34" s="1"/>
  <c r="K57" i="34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K84" i="34" s="1"/>
  <c r="K85" i="34" s="1"/>
  <c r="K86" i="34" s="1"/>
  <c r="K87" i="34" s="1"/>
  <c r="K88" i="34" s="1"/>
  <c r="K89" i="34" s="1"/>
  <c r="K90" i="34" s="1"/>
  <c r="K91" i="34" s="1"/>
  <c r="K92" i="34" s="1"/>
  <c r="K93" i="34" s="1"/>
  <c r="K94" i="34" s="1"/>
  <c r="J44" i="35"/>
  <c r="J45" i="35" s="1"/>
  <c r="J46" i="35" s="1"/>
  <c r="J47" i="35" s="1"/>
  <c r="J48" i="35" s="1"/>
  <c r="J49" i="35" s="1"/>
  <c r="J50" i="35" s="1"/>
  <c r="J51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J84" i="35" s="1"/>
  <c r="J85" i="35" s="1"/>
  <c r="J86" i="35" s="1"/>
  <c r="J87" i="35" s="1"/>
  <c r="J88" i="35" s="1"/>
  <c r="J89" i="35" s="1"/>
  <c r="J90" i="35" s="1"/>
  <c r="J91" i="35" s="1"/>
  <c r="J92" i="35" s="1"/>
  <c r="J93" i="35" s="1"/>
  <c r="J94" i="35" s="1"/>
  <c r="J95" i="35" s="1"/>
  <c r="J96" i="35" s="1"/>
  <c r="J97" i="35" s="1"/>
  <c r="J98" i="35" s="1"/>
  <c r="J99" i="35" s="1"/>
  <c r="J100" i="35" s="1"/>
  <c r="J101" i="35" s="1"/>
  <c r="J102" i="35" s="1"/>
  <c r="J103" i="35" s="1"/>
  <c r="I130" i="35"/>
  <c r="K13" i="35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J45" i="11"/>
  <c r="J46" i="11" s="1"/>
  <c r="J47" i="11" s="1"/>
  <c r="J48" i="11" s="1"/>
  <c r="J49" i="11" s="1"/>
  <c r="J50" i="11" s="1"/>
  <c r="J51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K45" i="11"/>
  <c r="K46" i="11" s="1"/>
  <c r="K47" i="11" s="1"/>
  <c r="K48" i="11" s="1"/>
  <c r="K49" i="11" s="1"/>
  <c r="K50" i="11" s="1"/>
  <c r="K51" i="11" s="1"/>
  <c r="I52" i="11"/>
  <c r="I101" i="11"/>
  <c r="K52" i="10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8" i="10" s="1"/>
  <c r="K99" i="10" s="1"/>
  <c r="G141" i="10"/>
  <c r="I141" i="10" s="1"/>
  <c r="J37" i="9"/>
  <c r="J38" i="9" s="1"/>
  <c r="J39" i="9" s="1"/>
  <c r="J40" i="9" s="1"/>
  <c r="J41" i="9" s="1"/>
  <c r="F96" i="9"/>
  <c r="K35" i="9"/>
  <c r="K36" i="9" s="1"/>
  <c r="K37" i="9" s="1"/>
  <c r="K38" i="9" s="1"/>
  <c r="K39" i="9" s="1"/>
  <c r="K40" i="9" s="1"/>
  <c r="K41" i="9" s="1"/>
  <c r="J45" i="26"/>
  <c r="J46" i="26" s="1"/>
  <c r="J47" i="26" s="1"/>
  <c r="J48" i="26" s="1"/>
  <c r="J49" i="26" s="1"/>
  <c r="J50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K56" i="26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J45" i="21"/>
  <c r="J46" i="21" s="1"/>
  <c r="J47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0" i="21" s="1"/>
  <c r="J111" i="21" s="1"/>
  <c r="J112" i="21" s="1"/>
  <c r="J113" i="21" s="1"/>
  <c r="J114" i="21" s="1"/>
  <c r="J115" i="21" s="1"/>
  <c r="J116" i="21" s="1"/>
  <c r="J117" i="21" s="1"/>
  <c r="J118" i="21" s="1"/>
  <c r="J119" i="21" s="1"/>
  <c r="J120" i="21" s="1"/>
  <c r="J121" i="21" s="1"/>
  <c r="J122" i="21" s="1"/>
  <c r="J123" i="21" s="1"/>
  <c r="J124" i="21" s="1"/>
  <c r="J125" i="21" s="1"/>
  <c r="J126" i="21" s="1"/>
  <c r="K53" i="2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K85" i="21" s="1"/>
  <c r="K86" i="21" s="1"/>
  <c r="K87" i="21" s="1"/>
  <c r="K88" i="21" s="1"/>
  <c r="K89" i="21" s="1"/>
  <c r="K90" i="21" s="1"/>
  <c r="K91" i="21" s="1"/>
  <c r="K92" i="21" s="1"/>
  <c r="K93" i="21" s="1"/>
  <c r="K94" i="21" s="1"/>
  <c r="K99" i="21" s="1"/>
  <c r="G127" i="21"/>
  <c r="I127" i="21" s="1"/>
  <c r="K53" i="36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K84" i="36" s="1"/>
  <c r="K85" i="36" s="1"/>
  <c r="K86" i="36" s="1"/>
  <c r="K87" i="36" s="1"/>
  <c r="K88" i="36" s="1"/>
  <c r="K89" i="36" s="1"/>
  <c r="K90" i="36" s="1"/>
  <c r="K91" i="36" s="1"/>
  <c r="K92" i="36" s="1"/>
  <c r="K93" i="36" s="1"/>
  <c r="K94" i="36" s="1"/>
  <c r="K46" i="36"/>
  <c r="K47" i="36" s="1"/>
  <c r="J46" i="36"/>
  <c r="J47" i="36" s="1"/>
  <c r="F48" i="36"/>
  <c r="F96" i="36"/>
  <c r="F48" i="21"/>
  <c r="I48" i="21"/>
  <c r="I48" i="36"/>
  <c r="I104" i="32"/>
  <c r="G117" i="33"/>
  <c r="I117" i="33" s="1"/>
  <c r="I165" i="9"/>
  <c r="F47" i="10"/>
  <c r="I47" i="10"/>
  <c r="F94" i="10"/>
  <c r="F52" i="35"/>
  <c r="I52" i="35"/>
  <c r="F104" i="35"/>
  <c r="I104" i="34"/>
  <c r="I104" i="35"/>
  <c r="F52" i="11"/>
  <c r="F101" i="11"/>
  <c r="I96" i="9"/>
  <c r="F51" i="26"/>
  <c r="I51" i="26"/>
  <c r="F102" i="26"/>
  <c r="F134" i="26"/>
  <c r="I102" i="26"/>
  <c r="I95" i="21"/>
  <c r="I96" i="36"/>
  <c r="J97" i="32" l="1"/>
  <c r="J98" i="32" s="1"/>
  <c r="J99" i="32" s="1"/>
  <c r="J100" i="32" s="1"/>
  <c r="J101" i="32" s="1"/>
  <c r="J102" i="32" s="1"/>
  <c r="J103" i="32" s="1"/>
  <c r="J108" i="32" s="1"/>
  <c r="J109" i="32" s="1"/>
  <c r="J110" i="32" s="1"/>
  <c r="J111" i="32" s="1"/>
  <c r="J112" i="32" s="1"/>
  <c r="J113" i="32" s="1"/>
  <c r="J114" i="32" s="1"/>
  <c r="J115" i="32" s="1"/>
  <c r="J116" i="32" s="1"/>
  <c r="J117" i="32" s="1"/>
  <c r="J118" i="32" s="1"/>
  <c r="J119" i="32" s="1"/>
  <c r="J120" i="32" s="1"/>
  <c r="J121" i="32" s="1"/>
  <c r="J122" i="32" s="1"/>
  <c r="J123" i="32" s="1"/>
  <c r="J124" i="32" s="1"/>
  <c r="K97" i="32"/>
  <c r="K98" i="32" s="1"/>
  <c r="K99" i="32" s="1"/>
  <c r="K100" i="32" s="1"/>
  <c r="K101" i="32" s="1"/>
  <c r="K102" i="32" s="1"/>
  <c r="K103" i="32" s="1"/>
  <c r="K108" i="32" s="1"/>
  <c r="K109" i="32" s="1"/>
  <c r="K110" i="32" s="1"/>
  <c r="K111" i="32" s="1"/>
  <c r="K112" i="32" s="1"/>
  <c r="K113" i="32" s="1"/>
  <c r="K114" i="32" s="1"/>
  <c r="K115" i="32" s="1"/>
  <c r="K116" i="32" s="1"/>
  <c r="K117" i="32" s="1"/>
  <c r="K118" i="32" s="1"/>
  <c r="K119" i="32" s="1"/>
  <c r="K120" i="32" s="1"/>
  <c r="K121" i="32" s="1"/>
  <c r="K122" i="32" s="1"/>
  <c r="K123" i="32" s="1"/>
  <c r="K124" i="32" s="1"/>
  <c r="K108" i="33"/>
  <c r="J108" i="33"/>
  <c r="J95" i="34"/>
  <c r="J96" i="34" s="1"/>
  <c r="J97" i="34" s="1"/>
  <c r="J98" i="34" s="1"/>
  <c r="J99" i="34" s="1"/>
  <c r="J100" i="34" s="1"/>
  <c r="J101" i="34" s="1"/>
  <c r="J102" i="34" s="1"/>
  <c r="J103" i="34" s="1"/>
  <c r="J108" i="34" s="1"/>
  <c r="J109" i="34" s="1"/>
  <c r="J110" i="34" s="1"/>
  <c r="J111" i="34" s="1"/>
  <c r="J112" i="34" s="1"/>
  <c r="J113" i="34" s="1"/>
  <c r="J114" i="34" s="1"/>
  <c r="J115" i="34" s="1"/>
  <c r="J116" i="34" s="1"/>
  <c r="J117" i="34" s="1"/>
  <c r="J118" i="34" s="1"/>
  <c r="J119" i="34" s="1"/>
  <c r="J120" i="34" s="1"/>
  <c r="J121" i="34" s="1"/>
  <c r="J122" i="34" s="1"/>
  <c r="J123" i="34" s="1"/>
  <c r="J124" i="34" s="1"/>
  <c r="J125" i="34" s="1"/>
  <c r="J126" i="34" s="1"/>
  <c r="J127" i="34" s="1"/>
  <c r="J128" i="34" s="1"/>
  <c r="J129" i="34" s="1"/>
  <c r="J130" i="34" s="1"/>
  <c r="K95" i="34"/>
  <c r="K96" i="34" s="1"/>
  <c r="K97" i="34" s="1"/>
  <c r="K98" i="34" s="1"/>
  <c r="K99" i="34" s="1"/>
  <c r="K100" i="34" s="1"/>
  <c r="K101" i="34" s="1"/>
  <c r="K102" i="34" s="1"/>
  <c r="K103" i="34" s="1"/>
  <c r="K108" i="34" s="1"/>
  <c r="K109" i="34" s="1"/>
  <c r="K110" i="34" s="1"/>
  <c r="K111" i="34" s="1"/>
  <c r="K112" i="34" s="1"/>
  <c r="K113" i="34" s="1"/>
  <c r="K114" i="34" s="1"/>
  <c r="K115" i="34" s="1"/>
  <c r="K116" i="34" s="1"/>
  <c r="K117" i="34" s="1"/>
  <c r="K118" i="34" s="1"/>
  <c r="K119" i="34" s="1"/>
  <c r="K120" i="34" s="1"/>
  <c r="K121" i="34" s="1"/>
  <c r="K122" i="34" s="1"/>
  <c r="K123" i="34" s="1"/>
  <c r="K124" i="34" s="1"/>
  <c r="K125" i="34" s="1"/>
  <c r="K126" i="34" s="1"/>
  <c r="K127" i="34" s="1"/>
  <c r="K128" i="34" s="1"/>
  <c r="K129" i="34" s="1"/>
  <c r="K130" i="34" s="1"/>
  <c r="K44" i="35"/>
  <c r="K45" i="35" s="1"/>
  <c r="K46" i="35" s="1"/>
  <c r="K47" i="35" s="1"/>
  <c r="K48" i="35" s="1"/>
  <c r="K49" i="35" s="1"/>
  <c r="K50" i="35" s="1"/>
  <c r="K51" i="35" s="1"/>
  <c r="K56" i="1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G181" i="10"/>
  <c r="I181" i="10" s="1"/>
  <c r="K42" i="9"/>
  <c r="K43" i="9" s="1"/>
  <c r="K44" i="9" s="1"/>
  <c r="K45" i="9" s="1"/>
  <c r="K46" i="9" s="1"/>
  <c r="K47" i="9" s="1"/>
  <c r="K52" i="9" s="1"/>
  <c r="J42" i="9"/>
  <c r="J43" i="9" s="1"/>
  <c r="J44" i="9" s="1"/>
  <c r="J45" i="9" s="1"/>
  <c r="J46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47" i="9"/>
  <c r="J95" i="26"/>
  <c r="J96" i="26" s="1"/>
  <c r="J97" i="26" s="1"/>
  <c r="J98" i="26" s="1"/>
  <c r="J99" i="26" s="1"/>
  <c r="J100" i="26" s="1"/>
  <c r="J101" i="26" s="1"/>
  <c r="J106" i="26" s="1"/>
  <c r="J107" i="26" s="1"/>
  <c r="J108" i="26" s="1"/>
  <c r="J109" i="26" s="1"/>
  <c r="K95" i="26"/>
  <c r="K96" i="26" s="1"/>
  <c r="K97" i="26" s="1"/>
  <c r="K98" i="26" s="1"/>
  <c r="K99" i="26" s="1"/>
  <c r="K100" i="26" s="1"/>
  <c r="K101" i="26" s="1"/>
  <c r="K106" i="26" s="1"/>
  <c r="K107" i="26" s="1"/>
  <c r="K108" i="26" s="1"/>
  <c r="K109" i="26" s="1"/>
  <c r="K100" i="21"/>
  <c r="K101" i="21" s="1"/>
  <c r="K102" i="21" s="1"/>
  <c r="K103" i="21" s="1"/>
  <c r="K104" i="21" s="1"/>
  <c r="K105" i="21" s="1"/>
  <c r="K106" i="21" s="1"/>
  <c r="K107" i="21" s="1"/>
  <c r="K108" i="21" s="1"/>
  <c r="K109" i="21" s="1"/>
  <c r="K110" i="21" s="1"/>
  <c r="K111" i="21" s="1"/>
  <c r="K112" i="21" s="1"/>
  <c r="K113" i="21" s="1"/>
  <c r="K114" i="21" s="1"/>
  <c r="K115" i="21" s="1"/>
  <c r="K116" i="21" s="1"/>
  <c r="K117" i="21" s="1"/>
  <c r="K118" i="21" s="1"/>
  <c r="K119" i="21" s="1"/>
  <c r="K120" i="21" s="1"/>
  <c r="K121" i="21" s="1"/>
  <c r="K122" i="21" s="1"/>
  <c r="K123" i="21" s="1"/>
  <c r="K124" i="21" s="1"/>
  <c r="K125" i="21" s="1"/>
  <c r="K126" i="21" s="1"/>
  <c r="K101" i="36"/>
  <c r="K102" i="36" s="1"/>
  <c r="K103" i="36" s="1"/>
  <c r="K104" i="36" s="1"/>
  <c r="K105" i="36" s="1"/>
  <c r="K106" i="36" s="1"/>
  <c r="K95" i="36"/>
  <c r="J52" i="36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J84" i="36" s="1"/>
  <c r="J85" i="36" s="1"/>
  <c r="J86" i="36" s="1"/>
  <c r="J87" i="36" s="1"/>
  <c r="J88" i="36" s="1"/>
  <c r="J89" i="36" s="1"/>
  <c r="J90" i="36" s="1"/>
  <c r="J91" i="36" s="1"/>
  <c r="J92" i="36" s="1"/>
  <c r="J93" i="36" s="1"/>
  <c r="J94" i="36" s="1"/>
  <c r="J109" i="33" l="1"/>
  <c r="J110" i="33" s="1"/>
  <c r="J111" i="33" s="1"/>
  <c r="J112" i="33" s="1"/>
  <c r="J113" i="33" s="1"/>
  <c r="J114" i="33" s="1"/>
  <c r="J115" i="33" s="1"/>
  <c r="J116" i="33" s="1"/>
  <c r="K109" i="33"/>
  <c r="K110" i="33" s="1"/>
  <c r="K111" i="33" s="1"/>
  <c r="K112" i="33" s="1"/>
  <c r="K113" i="33" s="1"/>
  <c r="K114" i="33" s="1"/>
  <c r="K115" i="33" s="1"/>
  <c r="K116" i="33" s="1"/>
  <c r="K56" i="35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K84" i="35" s="1"/>
  <c r="K85" i="35" s="1"/>
  <c r="K86" i="35" s="1"/>
  <c r="K87" i="35" s="1"/>
  <c r="K88" i="35" s="1"/>
  <c r="K89" i="35" s="1"/>
  <c r="K90" i="35" s="1"/>
  <c r="K91" i="35" s="1"/>
  <c r="K92" i="35" s="1"/>
  <c r="K93" i="35" s="1"/>
  <c r="K94" i="35" s="1"/>
  <c r="K95" i="35" s="1"/>
  <c r="K96" i="35" s="1"/>
  <c r="K97" i="35" s="1"/>
  <c r="K98" i="35" s="1"/>
  <c r="K99" i="35" s="1"/>
  <c r="K100" i="35" s="1"/>
  <c r="K101" i="35" s="1"/>
  <c r="K102" i="35" s="1"/>
  <c r="K103" i="35" s="1"/>
  <c r="K108" i="35" s="1"/>
  <c r="K109" i="35" s="1"/>
  <c r="K110" i="35" s="1"/>
  <c r="K111" i="35" s="1"/>
  <c r="K112" i="35" s="1"/>
  <c r="K113" i="35" s="1"/>
  <c r="K114" i="35" s="1"/>
  <c r="K115" i="35" s="1"/>
  <c r="K116" i="35" s="1"/>
  <c r="K117" i="35" s="1"/>
  <c r="K118" i="35" s="1"/>
  <c r="K119" i="35" s="1"/>
  <c r="K120" i="35" s="1"/>
  <c r="K121" i="35" s="1"/>
  <c r="K122" i="35" s="1"/>
  <c r="K123" i="35" s="1"/>
  <c r="K124" i="35" s="1"/>
  <c r="K125" i="35" s="1"/>
  <c r="K126" i="35" s="1"/>
  <c r="K127" i="35" s="1"/>
  <c r="K128" i="35" s="1"/>
  <c r="K129" i="35" s="1"/>
  <c r="K100" i="10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5" i="10" s="1"/>
  <c r="J100" i="9"/>
  <c r="J101" i="9" s="1"/>
  <c r="J102" i="9" s="1"/>
  <c r="J103" i="9" s="1"/>
  <c r="J104" i="9" s="1"/>
  <c r="K53" i="9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J110" i="26"/>
  <c r="J111" i="26" s="1"/>
  <c r="J112" i="26" s="1"/>
  <c r="K110" i="26"/>
  <c r="K111" i="26" s="1"/>
  <c r="K112" i="26" s="1"/>
  <c r="K107" i="36"/>
  <c r="K108" i="36" s="1"/>
  <c r="K109" i="36" s="1"/>
  <c r="K110" i="36" s="1"/>
  <c r="K111" i="36" s="1"/>
  <c r="K112" i="36" s="1"/>
  <c r="K113" i="36" s="1"/>
  <c r="K114" i="36" s="1"/>
  <c r="K115" i="36" s="1"/>
  <c r="K116" i="36" s="1"/>
  <c r="K117" i="36" s="1"/>
  <c r="J100" i="36"/>
  <c r="J101" i="36" s="1"/>
  <c r="J102" i="36" s="1"/>
  <c r="J103" i="36" s="1"/>
  <c r="J104" i="36" s="1"/>
  <c r="J105" i="36" s="1"/>
  <c r="J106" i="36" s="1"/>
  <c r="J95" i="36"/>
  <c r="K146" i="10" l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00" i="9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K134" i="9" s="1"/>
  <c r="K135" i="9" s="1"/>
  <c r="K136" i="9" s="1"/>
  <c r="K137" i="9" s="1"/>
  <c r="K138" i="9" s="1"/>
  <c r="K139" i="9" s="1"/>
  <c r="J105" i="9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13" i="26"/>
  <c r="J114" i="26" s="1"/>
  <c r="J115" i="26" s="1"/>
  <c r="J116" i="26" s="1"/>
  <c r="J117" i="26" s="1"/>
  <c r="J118" i="26" s="1"/>
  <c r="J119" i="26" s="1"/>
  <c r="J120" i="26" s="1"/>
  <c r="J121" i="26" s="1"/>
  <c r="J122" i="26" s="1"/>
  <c r="J123" i="26" s="1"/>
  <c r="J124" i="26" s="1"/>
  <c r="J125" i="26" s="1"/>
  <c r="J126" i="26" s="1"/>
  <c r="J127" i="26" s="1"/>
  <c r="J128" i="26" s="1"/>
  <c r="J129" i="26" s="1"/>
  <c r="J130" i="26" s="1"/>
  <c r="J131" i="26" s="1"/>
  <c r="J132" i="26" s="1"/>
  <c r="J133" i="26" s="1"/>
  <c r="K113" i="26"/>
  <c r="K114" i="26" s="1"/>
  <c r="K115" i="26" s="1"/>
  <c r="K116" i="26" s="1"/>
  <c r="K117" i="26" s="1"/>
  <c r="K118" i="26" s="1"/>
  <c r="K119" i="26" s="1"/>
  <c r="K120" i="26" s="1"/>
  <c r="K121" i="26" s="1"/>
  <c r="K122" i="26" s="1"/>
  <c r="K123" i="26" s="1"/>
  <c r="K124" i="26" s="1"/>
  <c r="K125" i="26" s="1"/>
  <c r="K126" i="26" s="1"/>
  <c r="K127" i="26" s="1"/>
  <c r="K128" i="26" s="1"/>
  <c r="K129" i="26" s="1"/>
  <c r="K130" i="26" s="1"/>
  <c r="K131" i="26" s="1"/>
  <c r="K132" i="26" s="1"/>
  <c r="K133" i="26" s="1"/>
  <c r="K118" i="36"/>
  <c r="K119" i="36" s="1"/>
  <c r="K120" i="36" s="1"/>
  <c r="K121" i="36" s="1"/>
  <c r="K122" i="36" s="1"/>
  <c r="K123" i="36" s="1"/>
  <c r="K124" i="36" s="1"/>
  <c r="K125" i="36" s="1"/>
  <c r="K126" i="36" s="1"/>
  <c r="K127" i="36" s="1"/>
  <c r="J107" i="36"/>
  <c r="J108" i="36" s="1"/>
  <c r="J109" i="36" s="1"/>
  <c r="J110" i="36" s="1"/>
  <c r="J111" i="36" s="1"/>
  <c r="J112" i="36" s="1"/>
  <c r="J113" i="36" s="1"/>
  <c r="J114" i="36" s="1"/>
  <c r="J115" i="36" s="1"/>
  <c r="J116" i="36" s="1"/>
  <c r="J117" i="36" s="1"/>
  <c r="J118" i="36" s="1"/>
  <c r="J119" i="36" s="1"/>
  <c r="J120" i="36" s="1"/>
  <c r="J121" i="36" s="1"/>
  <c r="J122" i="36" s="1"/>
  <c r="J123" i="36" s="1"/>
  <c r="J124" i="36" s="1"/>
  <c r="J125" i="36" s="1"/>
  <c r="J126" i="36" s="1"/>
  <c r="J127" i="36" s="1"/>
  <c r="K137" i="26"/>
  <c r="J140" i="9" l="1"/>
  <c r="J141" i="9" s="1"/>
  <c r="J142" i="9" s="1"/>
  <c r="J143" i="9" s="1"/>
  <c r="K140" i="9"/>
  <c r="K141" i="9" s="1"/>
  <c r="K142" i="9" s="1"/>
  <c r="K143" i="9" s="1"/>
  <c r="J128" i="36"/>
  <c r="J129" i="36" s="1"/>
  <c r="J130" i="36" s="1"/>
  <c r="J131" i="36" s="1"/>
  <c r="J132" i="36" s="1"/>
  <c r="J133" i="36" s="1"/>
  <c r="J134" i="36" s="1"/>
  <c r="J135" i="36" s="1"/>
  <c r="J136" i="36" s="1"/>
  <c r="J137" i="36" s="1"/>
  <c r="J138" i="36" s="1"/>
  <c r="J139" i="36" s="1"/>
  <c r="J140" i="36" s="1"/>
  <c r="K128" i="36"/>
  <c r="K129" i="36" s="1"/>
  <c r="K130" i="36" s="1"/>
  <c r="K131" i="36" s="1"/>
  <c r="K132" i="36" s="1"/>
  <c r="K133" i="36" s="1"/>
  <c r="K134" i="36" s="1"/>
  <c r="K135" i="36" s="1"/>
  <c r="K136" i="36" s="1"/>
  <c r="K137" i="36" s="1"/>
  <c r="K138" i="36" s="1"/>
  <c r="K139" i="36" s="1"/>
  <c r="K140" i="36" s="1"/>
  <c r="H95" i="28"/>
  <c r="G95" i="28"/>
  <c r="E95" i="28"/>
  <c r="D95" i="28"/>
  <c r="H47" i="28"/>
  <c r="G47" i="28"/>
  <c r="E47" i="28"/>
  <c r="D47" i="28"/>
  <c r="F47" i="28" s="1"/>
  <c r="K148" i="9" l="1"/>
  <c r="K149" i="9" s="1"/>
  <c r="K150" i="9" s="1"/>
  <c r="K151" i="9" s="1"/>
  <c r="K152" i="9" s="1"/>
  <c r="K153" i="9" s="1"/>
  <c r="K154" i="9" s="1"/>
  <c r="K155" i="9" s="1"/>
  <c r="K156" i="9" s="1"/>
  <c r="K157" i="9" s="1"/>
  <c r="K158" i="9" s="1"/>
  <c r="K159" i="9" s="1"/>
  <c r="K160" i="9" s="1"/>
  <c r="K161" i="9" s="1"/>
  <c r="K162" i="9" s="1"/>
  <c r="K163" i="9" s="1"/>
  <c r="K164" i="9" s="1"/>
  <c r="F95" i="28"/>
  <c r="I95" i="28"/>
  <c r="H136" i="28"/>
  <c r="E136" i="28"/>
  <c r="D136" i="28"/>
  <c r="I47" i="28" l="1"/>
  <c r="G136" i="28" l="1"/>
  <c r="I136" i="28" s="1"/>
  <c r="F136" i="28" l="1"/>
  <c r="F94" i="15" l="1"/>
  <c r="F141" i="15" l="1"/>
  <c r="I141" i="15"/>
  <c r="I47" i="15"/>
  <c r="K5" i="15" l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144" i="15" l="1"/>
  <c r="J5" i="15" l="1"/>
  <c r="J6" i="15" l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l="1"/>
  <c r="J45" i="15" s="1"/>
  <c r="J44" i="15"/>
  <c r="J46" i="15" s="1"/>
  <c r="K139" i="28"/>
  <c r="J6" i="28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5" i="28"/>
  <c r="K6" i="28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5" i="28"/>
</calcChain>
</file>

<file path=xl/sharedStrings.xml><?xml version="1.0" encoding="utf-8"?>
<sst xmlns="http://schemas.openxmlformats.org/spreadsheetml/2006/main" count="2158" uniqueCount="898">
  <si>
    <t>TOTAL</t>
  </si>
  <si>
    <t>FECHA</t>
  </si>
  <si>
    <t>CONCEPTO</t>
  </si>
  <si>
    <t>INGRESOS</t>
  </si>
  <si>
    <t>EGRESOS</t>
  </si>
  <si>
    <t>EFECTIVO</t>
  </si>
  <si>
    <t>CAJA</t>
  </si>
  <si>
    <t>BANCO</t>
  </si>
  <si>
    <t>SUMA</t>
  </si>
  <si>
    <t>EGRESO</t>
  </si>
  <si>
    <t>ENERO  2021</t>
  </si>
  <si>
    <t>Saldo del mes de Diciembre/20</t>
  </si>
  <si>
    <t>FEBRERO    2021</t>
  </si>
  <si>
    <t>Saldo del mes de Enero/21</t>
  </si>
  <si>
    <t>Saldo del mes de Febrero/21</t>
  </si>
  <si>
    <t>MARZO    2021</t>
  </si>
  <si>
    <t>ABRIL    2021</t>
  </si>
  <si>
    <t>Saldo del mes de Marzo/21</t>
  </si>
  <si>
    <t>Saldo del mes de Abril/21</t>
  </si>
  <si>
    <t>MAYO    2021</t>
  </si>
  <si>
    <t>JUNIO    2021</t>
  </si>
  <si>
    <t>Saldo del mes de Mayo/21</t>
  </si>
  <si>
    <t>JULIO    2021</t>
  </si>
  <si>
    <t>Saldo del mes de Junio/21</t>
  </si>
  <si>
    <t>AGOSTO    2021</t>
  </si>
  <si>
    <t>Saldo del mes de Julio/21</t>
  </si>
  <si>
    <t>SEPTIEMBRE    2021</t>
  </si>
  <si>
    <t>Saldo del mes de Agosto/21</t>
  </si>
  <si>
    <t>OCTUBRE    2021</t>
  </si>
  <si>
    <t>Saldo del mes de Septiembre/21</t>
  </si>
  <si>
    <t>NOVIEMBRE    2021</t>
  </si>
  <si>
    <t>Saldo del mes de Octubre/21</t>
  </si>
  <si>
    <t>DICIEMBRE    2021</t>
  </si>
  <si>
    <t>Saldo del mes de Noviembre/21</t>
  </si>
  <si>
    <t>Zapateria Elite, compra de par de botas para vigilancia</t>
  </si>
  <si>
    <t>Electropura, S. de R.L. de C.V. 2 garrafones de agua para casetas</t>
  </si>
  <si>
    <t>Tiendas Chedraui, S.A. de C.V. cena para vigilancia de fin de año</t>
  </si>
  <si>
    <t xml:space="preserve">Vigilancia, pan para vigilancia </t>
  </si>
  <si>
    <t>Tiendas Chedraui, S.A. de C.V. papelería</t>
  </si>
  <si>
    <t>Cadena Comercial Oxxo, S.A. de C.V. Tiempo aire para JT Esteban Alejo Hndez</t>
  </si>
  <si>
    <t>Vigilancia, comida para vigilancia 1er domingo</t>
  </si>
  <si>
    <t>Cáfe para mesa de cobranza</t>
  </si>
  <si>
    <t>Pedro Bazzan, pago por recolección de basura 1er domingo</t>
  </si>
  <si>
    <t>Recaudación de cuotas 1er domingo</t>
  </si>
  <si>
    <t>Tradición en Pastelerías, S.A. de C.V., café para junta mesa directiva</t>
  </si>
  <si>
    <t>Bepusa, S. de R.L. de C.V. 2 garrafones de agua para casetas</t>
  </si>
  <si>
    <t>Tiendas Chedraui, S.A. de C.V. compra de 2 mause para monitores</t>
  </si>
  <si>
    <t>Comercializadora, GU-SO, S.A. de C.V. materiales para composturas bicicletas</t>
  </si>
  <si>
    <t>Marelisama, S.A. de C.V. rosca de reyes para vigilqancia</t>
  </si>
  <si>
    <t>Tienda Chedraui, S.A. de C.V. rosca de reyes para vigilancia</t>
  </si>
  <si>
    <t>Tienda Chedraui, S.A. de C.V. pago telefono mes de diciembre/20</t>
  </si>
  <si>
    <t>Tienda Chedraui, S.A. de C.V. compra de materiales de limpieza p/casetas</t>
  </si>
  <si>
    <t>Tienda Chedraui, S.A. de C.V. papeleria</t>
  </si>
  <si>
    <t>Nueva Walmart de México, S. de R.L. de C.V. desinfectante para mesa cobranz</t>
  </si>
  <si>
    <t>Cuemanco, estacionamiento varias compras</t>
  </si>
  <si>
    <t>Comercializadora, GU-SO, S.A. de C.V. materiales para arreglo lavabo caseta</t>
  </si>
  <si>
    <t>Nueva Walmart de México, S. de R.L. de C.V. papelería</t>
  </si>
  <si>
    <t>Home Depot México, S. de R.L. de C.V. pilas para controles de monitores</t>
  </si>
  <si>
    <t>Pedro Bazzan, pago por recolección de basura 2do. domingo</t>
  </si>
  <si>
    <t>Vigilancia, comida para vigilancia 2do domingo</t>
  </si>
  <si>
    <t>Recaudación de cuotas 2do domingo</t>
  </si>
  <si>
    <t>Copifaz, copias</t>
  </si>
  <si>
    <t>Comercializadora GU-SO, S.A. de C.V. aceite tiempos para desbrozadora</t>
  </si>
  <si>
    <t>Gasolina para podadora del fraccionamiento</t>
  </si>
  <si>
    <t>Copyfaz Digital, papelería</t>
  </si>
  <si>
    <t xml:space="preserve">Valentin Sebastian Torres Rayón, bobina cable UTP para camaras </t>
  </si>
  <si>
    <t>Materiales y Tlapalería La Palma, materiales para reparación tarja cocina ZB</t>
  </si>
  <si>
    <t xml:space="preserve">Comercializadora, GU-SO S.A. de C.V. materiales p/reparación tarja concina </t>
  </si>
  <si>
    <t>Nueva Walmart de México, S. de R.L. de C.V., materiales de limpieza casetas</t>
  </si>
  <si>
    <t>Eduardo Rivera Yañez, poda pasto y mantenimiento de áreas verdes</t>
  </si>
  <si>
    <t>Cerrajería, pago arreglo puerta de acceso peatonal Recoveco</t>
  </si>
  <si>
    <t>Coppel, S.A. de C.V. toallas perfect limpieza monitores</t>
  </si>
  <si>
    <t>Comercializadora GU-SO, S.A. de C.V., Podadora, Rotomartillo y materiales va</t>
  </si>
  <si>
    <t>Vigilancia, pasaje para recoger uniformes</t>
  </si>
  <si>
    <t>Consulta Medica, apoyo en consulta para vigilante dentista, Abraham Pérez</t>
  </si>
  <si>
    <t>Farmacia G.I. Medicamento para botiquín de casetas</t>
  </si>
  <si>
    <t>Roberto Miranda, pago por barrer todo el fraccionamiento 1er quincena</t>
  </si>
  <si>
    <t>Pedro  Bazzan, Pago por recolección de basura 1er quincena</t>
  </si>
  <si>
    <t>Vigilancia, pan para vigilancia 1er  quincena</t>
  </si>
  <si>
    <t>Brian Alexisw Rangel Arellano, pago vigilancia 1er quincena</t>
  </si>
  <si>
    <t>Gloria Mazzón Soto, pago honorarios de trabajos contables 2da  quincena</t>
  </si>
  <si>
    <t>Sistemas y Cómputo, pago por configuración alta y baja de tarjetas electrónica</t>
  </si>
  <si>
    <t>Compensación por organización administrativa del fracc. Lic. Helena Osorio</t>
  </si>
  <si>
    <t xml:space="preserve">Grupo Alguacil Dorado en Seguridad Privada, S.A. de C.V. pago 1er quincena </t>
  </si>
  <si>
    <t>Bono de puntualidad de asistencia y apoyo para transporte, vigilancia</t>
  </si>
  <si>
    <t>Inka Yani, café para mesa directiva</t>
  </si>
  <si>
    <t>Loth Guzmán Miranda, pago por supervisión y trabajos diversos en el fracc.</t>
  </si>
  <si>
    <t>Servicio El Hueso, S.A. de C.V., gasolina viarias diligencias</t>
  </si>
  <si>
    <t>Grupo Alguacil Dorado en Seguridad Privada, S.A. de C.V.  Pago mant. Colegio</t>
  </si>
  <si>
    <t>Grupo Alguacil Dorado en Seguridad Privada, S.A. de C.V.   2da quincena</t>
  </si>
  <si>
    <t>Recaudación de cuotas 3er domingo</t>
  </si>
  <si>
    <t>Roberto Miranda, pago por barrer todo el fraccionamiento 2da quincena</t>
  </si>
  <si>
    <t>Pedro  Bazzan, Pago por recolección de basura 2da quincena</t>
  </si>
  <si>
    <t>Vigilancia, pan para vigilancia 2da  quincena</t>
  </si>
  <si>
    <t>Pedro Bazzan, pago por recolección de basura 3er domingo</t>
  </si>
  <si>
    <t>Esteban Alejó Hernández, comida vigilancia 3er domingo</t>
  </si>
  <si>
    <t>Mesa de cobranza, compra de empanadas para mesa de cobranza</t>
  </si>
  <si>
    <t>Emma Long, pago en apoyo de cobranza 3er domingo</t>
  </si>
  <si>
    <t>Patrulla (Lazaro) gratificación por rondines en todo el fracc 3er semana</t>
  </si>
  <si>
    <t>Patrulla (Morales) gratificación por rondines en todo el fracc 2da semana</t>
  </si>
  <si>
    <t>Patrulla (Lazaro) gratificación por rondines en todo el fracc 1er semana</t>
  </si>
  <si>
    <t>Vigilancia, compra de café para vigilancia</t>
  </si>
  <si>
    <t>Cadena Comercial Oxxo, S.A. de C.V. refrescos para Ing. De camaras</t>
  </si>
  <si>
    <t>Cadena Comercial Oxxo, S.A. de C.V. tiempo aire para presidencia</t>
  </si>
  <si>
    <t>Nueva Walmart de México, S. de R.L. de C.V. compra de café para vigilancia</t>
  </si>
  <si>
    <t>Lenix Security Alarm, 3 camaras Bullet HD</t>
  </si>
  <si>
    <t>Lenix Security Alarm, Servicio a CCTV</t>
  </si>
  <si>
    <t>Patrulla (Morales) gratificación por rondines en todo el fracc 4ta. semana</t>
  </si>
  <si>
    <t>Distribuidora Edifre, S.A. de C.V. medicamentos para botiquin</t>
  </si>
  <si>
    <t>Bicicletas Trujillo, compra de refacciones para bicicletas de rondines fracc.</t>
  </si>
  <si>
    <t>Home Depot México, S. de R.L. de C.V. No-Break, gel sanizante y clavija p/cam</t>
  </si>
  <si>
    <t>Nueva Walmart de Mèxico, S. de R.L. de C.V. compra de cafè para casetas</t>
  </si>
  <si>
    <t>Salud Digna, consulta para vigilante</t>
  </si>
  <si>
    <t>Papelerìa Omega, copias</t>
  </si>
  <si>
    <t>Loth Guzmàn Miranda, compra de asiento para bicicleta del fraccionamiento</t>
  </si>
  <si>
    <t>Roberto Miranda, pago por barrer explanada del parque</t>
  </si>
  <si>
    <t>Pedro Bazzan, pago por recolecciòn de basura en fin de semana 4to. Domingo</t>
  </si>
  <si>
    <t>Juan Carlos Montiel, comida vigilancia 4to. Domingo</t>
  </si>
  <si>
    <t>Comercializadora GU-SU, S.A. de C.V. taquetes para mantenimiento casetas</t>
  </si>
  <si>
    <t>Home Depot Mèxico, S. de R.L. de C.V. aceite de 4 tiempos para podadora</t>
  </si>
  <si>
    <t>Esteban Alejò Hernàndez, cuaderno para caseta</t>
  </si>
  <si>
    <t>Parques y Jardines, poda de àrboles en el parque</t>
  </si>
  <si>
    <t>Juan Carlos Montiel, reparaciòn de 3 bicicletas del fraccionamiento</t>
  </si>
  <si>
    <t>Pedro Bazzan, pago por recolecciòn de basura en fin de semana 5to domingo</t>
  </si>
  <si>
    <t>Esteban Alejo Hernàndez, comida vigilancia 5to domingo</t>
  </si>
  <si>
    <t>Recaudaciòn de cuotas 4to domingo</t>
  </si>
  <si>
    <t>Lenix Security Alarm, 50 tarjetas acceso plumas electrónicas</t>
  </si>
  <si>
    <t>Recaudación de cuotas 5to. Domingo</t>
  </si>
  <si>
    <t>Joel Eduardo Arango Rios, material de limpieza para casetas</t>
  </si>
  <si>
    <t>Materiales y Tlapalería La Palma, materiales para reparación caseta Romeral</t>
  </si>
  <si>
    <t>Nueva Walmart de México, S. de R.L. de C.V. materiales de limpieza casetas</t>
  </si>
  <si>
    <t>Estación de Servicio 3394, gasolina varias diligencias</t>
  </si>
  <si>
    <t>Brian Alexisw Rangel Arellano, limpieza hojarasca del parque</t>
  </si>
  <si>
    <t>Brian Alexisw Rangel Arellano, pago vigilancia 2da quincena</t>
  </si>
  <si>
    <t>Juan Carlos Montiel limpieza de hojarasca y ramas del parque</t>
  </si>
  <si>
    <t>C.F.E arreglo de cables en Upacuaro</t>
  </si>
  <si>
    <t>Juan Carlos Montiel, gratificación por cortar rama de árbol en  Zinampa</t>
  </si>
  <si>
    <t xml:space="preserve">Pago mantenimiento mes de enero ,  Colegio Carmel </t>
  </si>
  <si>
    <t>Recaudación de cuotas primer semana de Febrero</t>
  </si>
  <si>
    <t>Siegrist Contadores Públicos, Pago de honorarios profesionales diciembre</t>
  </si>
  <si>
    <t>Siegrist Contadores Públicos, Pago  de honorarios profesionales enero/21</t>
  </si>
  <si>
    <t>Papelería, compra libreta</t>
  </si>
  <si>
    <t>Abraham Pérez España, liq. Bono de puntualidad de la 2da quincena enero</t>
  </si>
  <si>
    <t>Lotrh Miranda Guzmán, gasolina para poda pasto del parque</t>
  </si>
  <si>
    <t>Bepusa, S. de R.L. de C.V.,2 garrafones de agua para casetas</t>
  </si>
  <si>
    <t>Eduardo Rivera Yañez, poda pasto y mantenimineto del parque</t>
  </si>
  <si>
    <t>Eduardo Rivera Yañez, pasaje para compra de gasolina</t>
  </si>
  <si>
    <t>Cadena Comercial Oxxo, S.A. de C.V., tiempo aire telcel para J.T. vigilancia</t>
  </si>
  <si>
    <t>Cadena Comercial Oxxo, S.A. de C.V., tiempo aire AT&amp;AT para J.T. vigilancia</t>
  </si>
  <si>
    <t>Comercializadora Farmaceutica de Chiapas, SAPI de C.V. consulta</t>
  </si>
  <si>
    <t>Tradición en Pastelerías, S.A. de C.V. pan para vigilancia</t>
  </si>
  <si>
    <t>Tlapalería el Quetzal, compra de bolsas para casetas</t>
  </si>
  <si>
    <t>Cadena Comercial Oxxo, S.A. de C.V. compra de refrescos para vigilancia</t>
  </si>
  <si>
    <t>Juan Carlos Montiel, comida vigilancia 1er domingo</t>
  </si>
  <si>
    <t>Nueva Walmart de México, S. de R.L. de C.V. tiempo aire presidencia</t>
  </si>
  <si>
    <t>Nueva Walmart de México, S. de R.L. de C.V. compra de bancos para casetas</t>
  </si>
  <si>
    <t>Roberto Espinoza Ramírez, compra de café para casetas</t>
  </si>
  <si>
    <t>Patrulla (Morales) gratificación por rondienes en todo el fracc 1er. Semana</t>
  </si>
  <si>
    <t xml:space="preserve">Recaudación de cuotas del 2do domingo </t>
  </si>
  <si>
    <t>Estación de Servicio 3994, gasolina varias diligencias</t>
  </si>
  <si>
    <t>Cadena Comercial Oxxo, S.A. de C.V., refrescos para vigilancia</t>
  </si>
  <si>
    <t>Lenix Security Alarm, 1 camara Bulet HD 5 mp y 1 repuesto de llave barreras</t>
  </si>
  <si>
    <t>Roberto Espinoza Ramírez, café junta directiva</t>
  </si>
  <si>
    <t>Eduardo Rivera Yañez, pago poda pasto y mantenimineto áreas verdes parque</t>
  </si>
  <si>
    <t>7 Eleven México, S.A. de C.V. pago telefono mes de enero/21</t>
  </si>
  <si>
    <t>Nueva Walmart de México, S. de R.L. de C.V. compra de materiales para caset</t>
  </si>
  <si>
    <t>Juan Carlos Montiel, pago por clareo de árboles del paque</t>
  </si>
  <si>
    <t>Cadena Comercial Oxxo, S.A. de C.V. compra de café mesa de cobranza</t>
  </si>
  <si>
    <t>Pedro Bazzan, pago por recolección de basura 2do domingo</t>
  </si>
  <si>
    <t>Vigilancia, comida 2do domingo</t>
  </si>
  <si>
    <t>Roberto Miranda, pago por barrer todo el fracc. 1er quincena</t>
  </si>
  <si>
    <t>Pedro Bazzan, pago por recolección de basura en todo el fracc. 1er quincena</t>
  </si>
  <si>
    <t>Vigilancia, pan para vigilancia 1er quincena</t>
  </si>
  <si>
    <t>Patrulla (Morales) gratificación por rondines en todo el fracc. 1er semana</t>
  </si>
  <si>
    <t>Patrulla (Lázaro) gratificación por rondines en todo el fracc. 1er semana</t>
  </si>
  <si>
    <t>Materiales y Tlapalería La Palma, materiales para mantenimieno casetas</t>
  </si>
  <si>
    <t>Gloria Mazzón Soto, pago honorarios de trabajos contables 1er  quincena</t>
  </si>
  <si>
    <t>Gloria Mazzón Soto, pago honorarios de trabajos contables 1er7  quincena</t>
  </si>
  <si>
    <t>Eduardo Rivera Yañez, pago por recolección de hojarazca en parque</t>
  </si>
  <si>
    <t>Servicio El hueso, S.A. de C.V. gasolina varias diligencia</t>
  </si>
  <si>
    <t>Abuyani Noé Rodríguez González, poda pasto y mantenimineto áreas verdes</t>
  </si>
  <si>
    <t>Juan Carlos Montiel, comida vigilancia 3er domingo</t>
  </si>
  <si>
    <t>Pedro Bazzan, pago por recolección basura fin de semana 4ta semana</t>
  </si>
  <si>
    <t>Esteban Alejó Hernández, comida vigilancia 4to domingo</t>
  </si>
  <si>
    <t>Roberto Miranda, pago por barrer todo el fracc. 2da. Quincena</t>
  </si>
  <si>
    <t>Pedro Bazzan, pago por recolección de basura en todo el fracc. 2da. Quincena</t>
  </si>
  <si>
    <t>Vigilancia, pan para vigilancia 2da. Quincena</t>
  </si>
  <si>
    <t>Emma Long, pago en apoyo cobranza</t>
  </si>
  <si>
    <t>Brian Alexis Rangel Arellano, pago vigilancia 2da quincena</t>
  </si>
  <si>
    <t>Comercializadora GU-SO, S.A. de C.V. compra de materiales para vigilancia</t>
  </si>
  <si>
    <t>Femsa, S.A. de C.V. compra de refrescos para juntas de mesa directiva</t>
  </si>
  <si>
    <t>Eduardo Rivera Yañez, poda pasto parque</t>
  </si>
  <si>
    <t>Abuyani Noé Rodríguez González, mantenimiento de áreas verdes parque</t>
  </si>
  <si>
    <t>Tienda Chedraui, S.A. de C.V. compra de desinfectante para casetas</t>
  </si>
  <si>
    <t>Tienda Chedraui, S.A. de C.V. compra de lustrador para muebles de casetas</t>
  </si>
  <si>
    <t>Servicio Robledo, S.A. de C.V. gasolina varias diligencias</t>
  </si>
  <si>
    <t>Juan Carlos Montiel,  clareo de árboles parque</t>
  </si>
  <si>
    <t>Ingenios de cámaras, comida para personal de cámaras</t>
  </si>
  <si>
    <t>Papelería Omega, papelería</t>
  </si>
  <si>
    <t>Abuyani Nóe Rodríguez González, mantenimineto de áreas verdes</t>
  </si>
  <si>
    <t>Patrulla (Morales) gratificación por rondines en todo el fracc. 2er3semana</t>
  </si>
  <si>
    <t>Eduardo Rivera Yañez, Pago poda pasto parque</t>
  </si>
  <si>
    <t>Office Depot, S.A. de C.V. compra de papelería</t>
  </si>
  <si>
    <t>Servicio Robledo, S.A. de C.V. gasolina poda pasto parque</t>
  </si>
  <si>
    <t>Bolsas y Desechables del Sur, bolsas para pasto podado</t>
  </si>
  <si>
    <t>Distribuidora Edifre, S.A. de C.V. material de protección para vigilancia</t>
  </si>
  <si>
    <t xml:space="preserve">Rivera Cruz Berenice, materiales de protección </t>
  </si>
  <si>
    <t>Comercializadora Caspin, S.A. de C.V., pintura para marcos de cancel caseta ZB</t>
  </si>
  <si>
    <t>Tienda Chedraui, S.A. de C.V. mause para motinores caseta ZB</t>
  </si>
  <si>
    <t>Tienda Chedraui, S.A. de C.V. material, antibacterial</t>
  </si>
  <si>
    <t>Industrial e Iluminación Jalisco, 1 bobina NTP cable</t>
  </si>
  <si>
    <t>Lenix Security Alarm, camara bullet Epcom HD 5 mp</t>
  </si>
  <si>
    <t>Lenix Security Alarm, mano de obra camara Epcom</t>
  </si>
  <si>
    <t>Lenix Security Alarm, canalización CCTV, juego balon CCTV</t>
  </si>
  <si>
    <t>Lenix Security Alarm, mano de obra canalización cableado caseta ZB</t>
  </si>
  <si>
    <t>Lenix Secutity Alarm, Tira led para barrera vehicular ZB</t>
  </si>
  <si>
    <t>Eduardo Rivera Yepez, pago por tintar marcos y sosten de cancel caseta ZB</t>
  </si>
  <si>
    <t>Eduardo Rivera Yepez, poda pasto y mantenimineto de áreas verdes</t>
  </si>
  <si>
    <t xml:space="preserve">Grupo D&amp;K extintor nueva a base de bióxido de carbono caseta </t>
  </si>
  <si>
    <t>Roberto Miranda, recolección de basura en parque</t>
  </si>
  <si>
    <t>Vidrios Gonzalez, material para cancel caseta Zinampa</t>
  </si>
  <si>
    <t>Edgar Galicia Alpiza, vidrio para cancel caseta Zinampa</t>
  </si>
  <si>
    <t xml:space="preserve">Recaudación de cuotas 4ta semana </t>
  </si>
  <si>
    <t>Servicio El Hueso, S.A. de C.V. gasolina varias diligencia</t>
  </si>
  <si>
    <t>Cadena Comercial Oxxo, S.A. de C.V. refrescos y refrigerios ingeniero cámaras</t>
  </si>
  <si>
    <t>Israel Galan Quintin, 15 duplicados de llaves para puertas de acceso peatonal</t>
  </si>
  <si>
    <t>Antelmo, pago por clareo de árboles en parque</t>
  </si>
  <si>
    <t>Cadena Comercial Oxxo, S.A. de C.V. café mesa de cobranza</t>
  </si>
  <si>
    <t>prestamos</t>
  </si>
  <si>
    <t xml:space="preserve">Pago mantenimiento mes de febrero ,  Colegio Carmel </t>
  </si>
  <si>
    <t>Brian Alexis Rangel Arellano, pago vigilancia 1er quincena</t>
  </si>
  <si>
    <t>Gloria Mazzón Soto, pago honorarios de trabajos contables 1er quincena</t>
  </si>
  <si>
    <t>recableado caseta zinampa</t>
  </si>
  <si>
    <t>y el servicio de la pluma</t>
  </si>
  <si>
    <t>Pedro Bazzan, pago por recolección de basura fin de semana  2do domingo</t>
  </si>
  <si>
    <t xml:space="preserve">Recaudación de cuotas </t>
  </si>
  <si>
    <t>Patrulla (Morales), gratificació por rondines en fraccionamiento 3er semana</t>
  </si>
  <si>
    <t>Comercializadora GU-SO, S.A. de C.V. herramienta para fraccionamiento</t>
  </si>
  <si>
    <t>Cuellar Inc. Materiales para mantenimiento de monitores casetas</t>
  </si>
  <si>
    <t>Tradición en Pastelería, S.A. de C.V. café junta mesa directiva</t>
  </si>
  <si>
    <t>Eletropura, S. de R.L. de C.V. 3 garrafones casetas</t>
  </si>
  <si>
    <t>Patrulla (Morales), gratificació por rondines en fraccionamiento 1er semana</t>
  </si>
  <si>
    <t>Siegrist Contadores Públicos, Pago  de honorarios profesionales  febrero/21</t>
  </si>
  <si>
    <t>Servicio Robledo, S.A. de C.V. gasolina varias diligencia</t>
  </si>
  <si>
    <t>Antelmo Chávez, poda pasto y mantenimiento áreas verdes parque</t>
  </si>
  <si>
    <t>Eduardo Rivera Yepez, recolección de pasto podado</t>
  </si>
  <si>
    <t>Brian Alexis Rangel Arellano, mantenimiento de bicicletas de rondines</t>
  </si>
  <si>
    <t>Pedro Bazzan, pago por recolección dee basura en fin de semana 1er domingo</t>
  </si>
  <si>
    <t>Cadena Comercial Oxxo, S.A. de C.V., agua parra mesa de cobranza y vigilancia</t>
  </si>
  <si>
    <t>Tradición en Pastelería, S.A. de C.V. café mesa de cobranza</t>
  </si>
  <si>
    <t>Gloria Mazzón Soto, pago en apoyo cobranza 1er domingo</t>
  </si>
  <si>
    <t xml:space="preserve">Dra.Alicia Lara García, consulta medica vigilante </t>
  </si>
  <si>
    <t>Telmex, pago telefono del fraccionamiento mes febrero</t>
  </si>
  <si>
    <t>Eletropura, S. de R.L. de C.V. 2 garrafones casetas</t>
  </si>
  <si>
    <t>Lenix Security Alarm, mantenimiento caseta Estopila y servicio a barrera vehic</t>
  </si>
  <si>
    <t>Materiales y Tlapalería La Palma, fucibles para casetas</t>
  </si>
  <si>
    <t>Patrulla (Lazaro) gratificación por rondines en todo el fracc. 2da semana</t>
  </si>
  <si>
    <t>Juan Carlos Montiel, medicamento</t>
  </si>
  <si>
    <t>Gabriel Avila Hernández, arreglo poste luz caseta Zinamapa por corto</t>
  </si>
  <si>
    <t>Israel García, pago por cambio de 7 luminarias en todo el fraccionamiento</t>
  </si>
  <si>
    <t>Bolsas y Desechables del Sur, bolsas  para pasto podado</t>
  </si>
  <si>
    <t>Nueva Walmart, de México, S. de R.L. de C.V. materiales de limpieza</t>
  </si>
  <si>
    <t>Gabriel Avila Hernández, taxi compra material arreglo caseta Romeral</t>
  </si>
  <si>
    <t>Gabriel Avila Hernández, cable para monitor HDMI</t>
  </si>
  <si>
    <t>Eduardo Rivera Yepez, poda pasto y mantenimiento de áreas verdes parque</t>
  </si>
  <si>
    <t>Gabriel Avila Hernández, recableado y servicio pluma caseta Zianampa</t>
  </si>
  <si>
    <t>Distribuidor Electrico Iztapala, S.A. de C.V. materiales para recableado ZB</t>
  </si>
  <si>
    <t>Distribuidora Edifre, S.A. de C.V. medicamentos para botiquin de casetas</t>
  </si>
  <si>
    <t xml:space="preserve">Estación de Servicio 3994, gasolina varias diligencias </t>
  </si>
  <si>
    <t>Estación de Servicio 3994, gasolina podadora</t>
  </si>
  <si>
    <t>Electropura, S. de R.L. de C.V. 2 garrafones de agua casetas</t>
  </si>
  <si>
    <t>Tradición en Pastelería, S.A. de C.V. café para junta mesa directiva</t>
  </si>
  <si>
    <t>Eduardo Rivera Yepez, pago por recolecció de hojarasca del parque</t>
  </si>
  <si>
    <t>Lenix Security Alarm, Disco duro 1 TB para caseta ZB</t>
  </si>
  <si>
    <t>Lenix Security Alarm, Servicio de revisión y reparación control de acceso</t>
  </si>
  <si>
    <t>Papelería Omega, copias</t>
  </si>
  <si>
    <t>Nueva Walmart, de México, S. de R.L. de C.V. papelería</t>
  </si>
  <si>
    <t>Café Mesa de cobranza, Helena Osorio</t>
  </si>
  <si>
    <t>Cubrebocas, materiales para protecció mesa directiva</t>
  </si>
  <si>
    <t>Israel García, pago por corto en Recoveco</t>
  </si>
  <si>
    <t xml:space="preserve">Sevicio El Hueso, S.A. de C.V. gasolina poda pasto </t>
  </si>
  <si>
    <t>Tecnologia e Investigación para el Bienestar, medicina para vigilancia</t>
  </si>
  <si>
    <t>Electropura, S. de R.L. de C.V. 1 garrafones de agua casetas</t>
  </si>
  <si>
    <t>Lenix Security Alarm, servicio a barrera vehicular y actualización de sofwer</t>
  </si>
  <si>
    <t>Salvador Flores, refacciones para bicicleta del fraccionamiento</t>
  </si>
  <si>
    <t>Brian Alexis Rangel Arellano, reparación de bicicleta rondines</t>
  </si>
  <si>
    <t>Cadena Comercial Oxxo, S.A. de C.V. compra de café para mesa de cobranza</t>
  </si>
  <si>
    <t>Patrulla (Lazaro) gratificación por rondines en todo el fracc.  4ta semana</t>
  </si>
  <si>
    <t>Estación de Servicio, gasolina varias diligencias</t>
  </si>
  <si>
    <t>Israel García, cambio de varias luminarias en todo el fraccionamiento</t>
  </si>
  <si>
    <t>Home Depot México, S. de R.L. de C.V. compra NO BREAK para casetas</t>
  </si>
  <si>
    <t>Cadena Comercial Oxxo, S.A. de C.V. tiempo aire presidencia</t>
  </si>
  <si>
    <t>Operadora Central de Estacionmiento, compras varias</t>
  </si>
  <si>
    <t>Eduardo Rivera Yepez, pago por clareo y recolecciión de pasto podado</t>
  </si>
  <si>
    <t>Eduardo Rivera Yepez, pago poda pasto y mantenimiento de áreas verdes</t>
  </si>
  <si>
    <t xml:space="preserve">techo </t>
  </si>
  <si>
    <t>préstamo</t>
  </si>
  <si>
    <t>Servicio Bicicleta, servicio y ajuste de bicicleta para rondines fraccionamiento</t>
  </si>
  <si>
    <t>Lenix Security Alamr, control destellador led p/pluma y juego de ballon HD Ep</t>
  </si>
  <si>
    <t>Lenix Security Alamr, mano de obra plumas de caseta Zinampa</t>
  </si>
  <si>
    <t>Cadena Comercial Oxxo, S.A. de C.V. refrescos para vigilancia</t>
  </si>
  <si>
    <t>Nueva Walmart de México, S. de R.L. de C.V., caja para caseta Romeral</t>
  </si>
  <si>
    <t>Cadena Comercial Oxxo, S.A. de C.V. café para mesa de cobranza</t>
  </si>
  <si>
    <t>Pedro Bazzan, pago por recolección de basura en fin de semana 4to domingo</t>
  </si>
  <si>
    <t>Esteban Alejo Hernández, comida para vigilancia 4to domingo</t>
  </si>
  <si>
    <t>Hilario Sebastían Franco, pago por mantenimiento de áreas verdes parque</t>
  </si>
  <si>
    <t>Abuyani Noé Rodríguez González, recolección de hojarasca en áreas verdes</t>
  </si>
  <si>
    <t>Luis Hernández Maya, reparación de pluma RM, puerta  peatonal LD/ZB</t>
  </si>
  <si>
    <t>Natalia Bueno, pago por repartir cirrcular de información   de basura a fracc</t>
  </si>
  <si>
    <t>Recaudación de cuotas 4to domingo</t>
  </si>
  <si>
    <t>Tradición en Pastelería, S.A. de C.V. café para mesa de cobranza</t>
  </si>
  <si>
    <t>Edgar Galicia Alpizar, liquidación de techumbre en caseta Zinampa</t>
  </si>
  <si>
    <t>Lenix Security Alarm, pago por revisión de cámaras</t>
  </si>
  <si>
    <t>Propimex, S. de R.L. de C.V. compra de refrescos</t>
  </si>
  <si>
    <t>Salvador Flores, frenos delanteros y ajuste de estrella a bicicleta</t>
  </si>
  <si>
    <t>Ivan Valentin, afilador de tijeras y podadoda</t>
  </si>
  <si>
    <t>Grupo Alguacil Dorado en Seguridad Privada, S.A. de C.V. pago de 1 elemento</t>
  </si>
  <si>
    <t>Home Depot México, S. de R.L. de C.V. compra de herramientas para el fracc.</t>
  </si>
  <si>
    <t>Silverio Salinas Vasquez, Pago a/c mantenimineto puerta de Romeral</t>
  </si>
  <si>
    <t>Gabriel Avila Hernández, mantenimineto equipo de computo de caseta RM y ZB</t>
  </si>
  <si>
    <t>Cadena Comercial Oxxo, S.A. de C.V. tiempo aire JT Juan Carlos Montiel</t>
  </si>
  <si>
    <t>Pedro Bazzan, pago por recolección de basura fin de semana 1 domingo</t>
  </si>
  <si>
    <t>Virginia Rendon, pago en apoyo cobranza, 1er domingo</t>
  </si>
  <si>
    <t>Vigilancia, comida para vigilancia, Juan Carlos Montiel, 1er domingo</t>
  </si>
  <si>
    <t>Patrulla (Morales), gratificación por rondines entre semana 1er domingo</t>
  </si>
  <si>
    <t>Electropura, S. de R.L. de C.V. 3 garrafones de agua para casetas</t>
  </si>
  <si>
    <t>Nueva Walmart de México, S. de R.L. de C.V. comida para vigilancia</t>
  </si>
  <si>
    <t>Tradición en Pastelerias, S.A. de C.V. café para mesa directiva junta</t>
  </si>
  <si>
    <t xml:space="preserve">Servicio Robledo, S.A. de C.V. gasolina varias diligencias </t>
  </si>
  <si>
    <t>Antelmo Chávez, pago poda pasto parque</t>
  </si>
  <si>
    <t>Alguacil Dorado en Seguridad Privada, S.A. de C.V. pago de seguridad privada</t>
  </si>
  <si>
    <t>Silverio Salinas Vasquez, Pago a/c mantenimiento puerta de Romeral</t>
  </si>
  <si>
    <t>Silverio Salinas Vasquez, Pago liq. Mantenimiento puerta de Romeral</t>
  </si>
  <si>
    <t>Luis Hernández Maya, pago de trabajos de herrería en todo el fraccionamiento</t>
  </si>
  <si>
    <t>Cadena Comercial Oxxo, S.A. de C.V. tiempo aire JT Esteban Alejo Hernández</t>
  </si>
  <si>
    <t>Telefonos de México, S.A.B. de C.V. pago telefono mes de marzo</t>
  </si>
  <si>
    <t>Kompelenz, pago reparación cofre a vecino que se le cayó pluma a su coche</t>
  </si>
  <si>
    <t xml:space="preserve">Bolsas y Desechables del Sur, bolsas para basura casetas </t>
  </si>
  <si>
    <t>Israel Galán Quintín, reparación de chapa puerta Estopila</t>
  </si>
  <si>
    <t>Propimex, S. de R.L. de C.V. compra de refrescos para vigilancia</t>
  </si>
  <si>
    <t>Sistemas y Cómputo, pago de revisión de cámaras y recuperación de 5 videos</t>
  </si>
  <si>
    <t>Hilario Sebastían Franco, recolección de hojarasca en áreas verdes parque</t>
  </si>
  <si>
    <t>Pedro Bazzan, pago por recolección de basura en fracc en fin de semana 2da</t>
  </si>
  <si>
    <t>Vigilancia, comida para vigilancia, Esteban Alejo Hernández 2do domingo</t>
  </si>
  <si>
    <t>Ema Long, pago en apoyo cobranza 2do. Domingo</t>
  </si>
  <si>
    <t>Farmacia G.I. compra desinfectante para mesa de cobranza</t>
  </si>
  <si>
    <t>Patrulla (Lázaro) gratificación por rondines en todo el fracc 2da semana</t>
  </si>
  <si>
    <t>Electropura, S. de R.L. de C.V. 2  garrafones de agua para casetas</t>
  </si>
  <si>
    <t>Tukurek Café, café mesa directiva, junta</t>
  </si>
  <si>
    <t>Servicio El Hueso, S.A. de C.V. gasolina poda pasto</t>
  </si>
  <si>
    <t>Siegrist Contadores Públicos, Pago  de honorarios profesionales  marzo/21</t>
  </si>
  <si>
    <t>Papelería Omega, 1200 copias informe trimestral al fraccionamiento</t>
  </si>
  <si>
    <t>Diego Aranza Tellez, pago por entrega de circulares primer informe a fracc.</t>
  </si>
  <si>
    <t>Extinguiidores P.Y.S.I, S.A. de C.V. recarga extintor polvo químico seco</t>
  </si>
  <si>
    <t>Extinguidores P.Y.S.I, S.A. de C.V. gabinete tipo sobreponer con vidrio extintor</t>
  </si>
  <si>
    <t>Electroura, S. de R.L. de C.V. 2 garrafones para casetas</t>
  </si>
  <si>
    <t>Roberto Espinoza Ramírez, café para mesa directiva junta</t>
  </si>
  <si>
    <t>Joel Eduardo Arango Rios, materiales para limpieza casetas</t>
  </si>
  <si>
    <t>Cadena Comercial Oxxo, S.A. de C.V. compra de agua para mesa de cobranza</t>
  </si>
  <si>
    <t>Distribuidora El Bollo Cafetales, S.A. de C.V. compra de pan para mesa de cobran</t>
  </si>
  <si>
    <t>Pedro Bazza, pago por recolección de basura 3er domingo</t>
  </si>
  <si>
    <t>Juan Carlos Montiel, comiga vigilancia 3er domingo</t>
  </si>
  <si>
    <t xml:space="preserve">Juan Carlos Montiel, material y arreglo de calle Zinampa </t>
  </si>
  <si>
    <t>Lenix Security Alarm, micro filtro balum para monitores</t>
  </si>
  <si>
    <t>Lenix Security Alarm, mano de obra de micro filtro balum para monitores</t>
  </si>
  <si>
    <t>Materiales y Tlapalería La Palma, materiales para casetas</t>
  </si>
  <si>
    <t>Patrulla (Morales), gratificación por rondines entre semana 3er semana</t>
  </si>
  <si>
    <t>Home Depot México, S. de R.L. de C.V. cinturones para colocación de lonas</t>
  </si>
  <si>
    <t>Plaza Comercial Chedraui Coapa, estacionamiento varias compras</t>
  </si>
  <si>
    <t>Café y Cocina Mexicana, junta tratar varios temas del fraccionamiento</t>
  </si>
  <si>
    <t>Luis Hernández Maya, reparación de balero puerta peatonal Zinampa</t>
  </si>
  <si>
    <t>Hilario Sebastían Franco, limpieza del parque</t>
  </si>
  <si>
    <t>Raúl Ruiz Apolinar, sombrilla para mesa de cobranza</t>
  </si>
  <si>
    <t>Juan Carlos Montiel, arreglo base sombrilla mesa de cobranza</t>
  </si>
  <si>
    <t>Diego Aranza Tellez, pago por colocación de lonas de información en puertas</t>
  </si>
  <si>
    <t>Miniso México, S.A.P.I. de C.V. papelería</t>
  </si>
  <si>
    <t>Brian Alexis Rangel Arellano, recolección de hojarasca y pasto podado</t>
  </si>
  <si>
    <t>Patrulla (Lázaro) gratificación por rondines en todo el fracc 4ta semana</t>
  </si>
  <si>
    <t>Juan Carlos Montiel, pago por limpieza de juegos y kiosco del parque</t>
  </si>
  <si>
    <t>PRESTAMO</t>
  </si>
  <si>
    <t>Irsa, S. de R.L. de C.V. 2 garrafones de agua para casetas</t>
  </si>
  <si>
    <t>Office Depot de México, S.A. de C.V. papelería</t>
  </si>
  <si>
    <t>Abuyani Noé Rodríguez González, consulta medica</t>
  </si>
  <si>
    <t>Lenix Security Alarm, mantenimiento a equipo DVR y cámaras caseta Zinampa</t>
  </si>
  <si>
    <t>Lenix Secutity Alarm, revisión de sistema cámaras</t>
  </si>
  <si>
    <t>Nueva Walmart de México, S de R.L. de C.V.  materiales limpieza casetas</t>
  </si>
  <si>
    <t>Juan Carlos Montiel, comida para vigilancia 1er domingo</t>
  </si>
  <si>
    <t>Juan Carlos Montiel, Pago de limpieza de ramas árbol podado Romeral</t>
  </si>
  <si>
    <t>Diego Almaza, gratificación en apoyo vial poda de árbol</t>
  </si>
  <si>
    <t>Karola Téllez, gratificación en apouo vial poda de árbol</t>
  </si>
  <si>
    <t>Parques y jardines, poda de árbol en riesgo de caer en calle Romeral</t>
  </si>
  <si>
    <t>Irsa S de R.L. de C.V. 2 garrafones de agua para casetas</t>
  </si>
  <si>
    <t>Patrulla (Morales) gratificación por rondines en toda la semana 1er semana</t>
  </si>
  <si>
    <t>Lenix Security Alarm, revisión de sistema</t>
  </si>
  <si>
    <t>Lenix Security Alarm, bateria para equipo DVR</t>
  </si>
  <si>
    <t>Café Acoxpa, café para mesa directiva</t>
  </si>
  <si>
    <t>Siegrist Contadores Públicos, Pago  de honorarios profesionales  abril/21</t>
  </si>
  <si>
    <t>Sistemas y Cómputo, pago por recuperación de video Eztanzuela # 89</t>
  </si>
  <si>
    <t>Joel Eduardo Arango Rios, compra de materiales de limpieza para casetas</t>
  </si>
  <si>
    <t>Comercializadora GU-SO S.A. de C.V. pintura para tubo y brazo de camara CL</t>
  </si>
  <si>
    <t>Operadora OMX, S.A. de C.V. papelería</t>
  </si>
  <si>
    <t>Cadena Comercial Oxxo, S.A. de C.V. tiempo aire JT vigilalncia</t>
  </si>
  <si>
    <t>Comercializadora Caspin, S.A. de C.V. compra de thiner y estopa pintar tubo</t>
  </si>
  <si>
    <t>Cadena Comercial Oxxo, S.A. de C.V. compra refrescos para ingenieros de cám</t>
  </si>
  <si>
    <t xml:space="preserve">Salvador Flores, compra de refacciones para bicicleta rondines </t>
  </si>
  <si>
    <t>Lenix Security Alarm, 2 camaras bullet HD Epcom,2 transformadores y 1 ballon</t>
  </si>
  <si>
    <t>Israel García, pago de varias luminarias ZB,CL,UP y EP</t>
  </si>
  <si>
    <t>Hilario Sebastian, limpieza y recolección de pasto podado y hojarasca</t>
  </si>
  <si>
    <t>Luis Ruiz Mocino, pago por hacer deague entrada caseta Romeral</t>
  </si>
  <si>
    <t>Luis Ruiz Mocino, pago or pintar base de cámaras</t>
  </si>
  <si>
    <t>Telefonos de México, S.A.B. de C.V. pago de telefono casetas abril</t>
  </si>
  <si>
    <t>Irsa S de R.L. de C.V. 3 garrafones de agua para casetas</t>
  </si>
  <si>
    <t>Pedro Bazzan, pago por recolección de basura 2 domingo</t>
  </si>
  <si>
    <t>Juan Carlos Montiel, comida para vigilancia 2do domingo</t>
  </si>
  <si>
    <t>Virginia Rendon, pago en apoyo de cobranza 2do domingo</t>
  </si>
  <si>
    <t>Abuyani Noe Rodríguez González, pago por limpieza de áreas verdes</t>
  </si>
  <si>
    <t>Irsa, S de R.L. de C.V. 1 garrafon para caseta</t>
  </si>
  <si>
    <t>Patrulla (Morales) gratificación por rondines en toda la semana 2da semana</t>
  </si>
  <si>
    <t>Estación de Servicio 3994, gasolina poda pasto</t>
  </si>
  <si>
    <t>Lenix Security Alarm, barrera vehicular y accesorios para caseta Zinamapa</t>
  </si>
  <si>
    <t>Lenix Security Alarm, mano de obra barrera vehicular</t>
  </si>
  <si>
    <t>Hilario Sebastian, recolección de pasto podado</t>
  </si>
  <si>
    <t>Servicio El Hueso, S.A. de C.V. gasolina poda pasto parque</t>
  </si>
  <si>
    <t>Pedro Bazza, pago por recolección de basura en fin de semana 3er domingo</t>
  </si>
  <si>
    <t>Emma Long, pago en apoyo cobranza 3er domingo</t>
  </si>
  <si>
    <t>Irsa, S. de R.L. de C.V. 4 garrafones de agua para casetas</t>
  </si>
  <si>
    <t>Patrulla (Lázaro) gratificación por rondines en toda la semana 3er semana</t>
  </si>
  <si>
    <t>Luis Hernández, reparación de puerta peatonal Zinampa</t>
  </si>
  <si>
    <t>Tiendas Chedrawui, S.A. de C.V. material de limpieza para casetas</t>
  </si>
  <si>
    <t>Estacionamiento, varias compras</t>
  </si>
  <si>
    <t>Cadena Comercial Oxxo, S.A. de C.V. compra refrescos trabajadores techo</t>
  </si>
  <si>
    <t xml:space="preserve">Lenix Security Alarm, Led RBG 5mts, cableado para camara Zinampa </t>
  </si>
  <si>
    <t>Distribuidora Edifre, S.A. de C.V. medicamento para botiquin</t>
  </si>
  <si>
    <t>Pedro Bazzan, pago por recolección de baura en fin de semana</t>
  </si>
  <si>
    <t>Hilario Sebastían Franco, pago por recolección de pasto podado y hojarasca</t>
  </si>
  <si>
    <t>Patrulla (Morales) gratificación por rondines en todo el fracc. 4ta semana</t>
  </si>
  <si>
    <t>Recolección de cuotas 4to domingo</t>
  </si>
  <si>
    <t>Irsa S. de R.L. de C.V. 4 garrafones de agua para casetas</t>
  </si>
  <si>
    <t xml:space="preserve">Servicio Robledo, S.A. de C.V. gasolina poda pasto </t>
  </si>
  <si>
    <t>Sistema de cómputo, video Estanzuela #89</t>
  </si>
  <si>
    <t>Hilario Sebastian Franco, pago por recolección de hojarasca y pasto podado</t>
  </si>
  <si>
    <t>Bolsas y desechables del sur, bolsas para basura</t>
  </si>
  <si>
    <t>Eduardo Hernández Medina, compostura de desbrozadora del fraccionamiento</t>
  </si>
  <si>
    <t>Irsa S. de R.L. de C.V. 1 garrafones de agua para casetas</t>
  </si>
  <si>
    <t>Pedro Bazzan, pago por recolección de basura en fin de semana 5ta semana</t>
  </si>
  <si>
    <t>Juan Carlos Montiel, comida vigilancia 5to domingo</t>
  </si>
  <si>
    <t>Camioneta basura, pago por recolección de bolsas pasto podado</t>
  </si>
  <si>
    <t>Recolección de cuotas 5to domingo</t>
  </si>
  <si>
    <t>Compensación por organización administrativa del fracc. Lic. Elena Osorio</t>
  </si>
  <si>
    <t>Elena Osorio, compra de café para mesa de cobranza</t>
  </si>
  <si>
    <t>Compensación en su labor como presidente del fracc, Lic. Elena Osorio</t>
  </si>
  <si>
    <t>Patrulla (Lázaro) gratificación por rondines en todo el fracc. 1 er semana</t>
  </si>
  <si>
    <t>Refrescos para personal que colocaron techumbre en RM</t>
  </si>
  <si>
    <t>Comercializadora GU-SO, S.A. de C.V. Lentes de seguridad para personal fracc</t>
  </si>
  <si>
    <t>Comercializadora GU-SO, S.A. de C.V. material para arreglos baños de casetas</t>
  </si>
  <si>
    <t>Antelmo Chávez, poda pasto parque del fracc.</t>
  </si>
  <si>
    <t>Abraham, Peréz, Gratificación extraordinaria por cunclusión de servicios</t>
  </si>
  <si>
    <t>Servicio El Hueso, S.A. de C.V. gasolina para podadora del fracc</t>
  </si>
  <si>
    <t>Tradición en Pastelerías, S.A. de C.V. café mesa directiva</t>
  </si>
  <si>
    <t>Hilario Sebastían Franco, recolección de hojarasca y pasto podado</t>
  </si>
  <si>
    <t>Ruben Cruz, arreglo de baños de casetas del fracc. ZB y RM</t>
  </si>
  <si>
    <t>Cadena Comercial Oxxo, S.A. de C.V. tiempo aire JT vigilancia</t>
  </si>
  <si>
    <t>Estación de Servicio 3994, gasolina para varias diligencia</t>
  </si>
  <si>
    <t>Bolsas y Desechables Del Sur, bolsas desechables para basura casetas y parque</t>
  </si>
  <si>
    <t>Pedro Bazzan, pago por recolección de basura en fin de semana 1er domingo</t>
  </si>
  <si>
    <t>Cadena Comercial Oxxo, S.A. de C.V. refrescos para mesa cobranza y de votacio</t>
  </si>
  <si>
    <t>Karola , pago en apoyo cobranza 1er domingo</t>
  </si>
  <si>
    <t>Multifarmacias, medicamento para botiquin</t>
  </si>
  <si>
    <t>Irsa S de R.L. de C.V. 2 garrafones para casetas</t>
  </si>
  <si>
    <t>Patrulla (Morales) gratificación por rondines en todo el fracc. 2da. Semana</t>
  </si>
  <si>
    <t>Nueva Walmart de México, S. de R.L. de C.V. materiales de limpieza para caset</t>
  </si>
  <si>
    <t>Nueva Walmart de México, S. de R.L. de C.V. alimentos para casetas</t>
  </si>
  <si>
    <t>Propimex, S. de R.L. de C.V. refrescos para casetas</t>
  </si>
  <si>
    <t xml:space="preserve">Pago mantenimiento mes de junio  Colegio Carmel </t>
  </si>
  <si>
    <t>RAG Servicios De Adecuación y Mantenimiento S.A. de C.V., Estructura metalic</t>
  </si>
  <si>
    <t>Tiendas Chedraui, S.A. de C.V. café y azucar para casetas</t>
  </si>
  <si>
    <t>Panificadora Rixa, S.A. de C.V. café para mesa directiva</t>
  </si>
  <si>
    <t>Gregorio Diego Tolentino, poda pasto para parque del fraccionamiento</t>
  </si>
  <si>
    <t>Telefonos de México, S.A.B. de C.V. pago telefono fraccionamiento mayo</t>
  </si>
  <si>
    <t>Sistemas y Cómputo, recuperción de videos</t>
  </si>
  <si>
    <t>Papeleria Meca, copias</t>
  </si>
  <si>
    <t>Home Depot México, S. de R.L. de C.V. tornillos para bicilcetas del fracc.</t>
  </si>
  <si>
    <t>Pedro Bazzan, pago por recolección de basura en fin de semana 2do domingo</t>
  </si>
  <si>
    <t>Juan Carlos Montiel, comida vigilancia 2do domingo</t>
  </si>
  <si>
    <t>Elena Osorio, café para mesa de cobranza</t>
  </si>
  <si>
    <t>Comercializadora GU-SO, S.A. de C.V. concertina alta seguridad para puerta RV</t>
  </si>
  <si>
    <t>Irsa S. de R.L. de C.V. 2 garrafones de agua para casetas</t>
  </si>
  <si>
    <t>Patrulla (Lázaro) gratificación por rondines en todo el fracc. 3er semana</t>
  </si>
  <si>
    <t>Camioneta Basura, pago por recolección de bolsas pasto podado</t>
  </si>
  <si>
    <t>Luis Hernández Maya, cambio de balero puerta peatonal de Zinampa</t>
  </si>
  <si>
    <t>Israel Galán Quintín, pago revisión puerta de Estanzuela</t>
  </si>
  <si>
    <t>Israel Galán Quintín, 12 duplicados de llaves puertas peatonales del fracc.</t>
  </si>
  <si>
    <t xml:space="preserve">Luis Hernández Maya, colocación de cocertina en rejas de Recoveco </t>
  </si>
  <si>
    <t>Comercializadora GU-SO, S.A. de C.V. materiales para colocación de concertina</t>
  </si>
  <si>
    <t>Brian Alexis Rangel Arellano, pago de 2 días de vigilancia</t>
  </si>
  <si>
    <t>Comercializadora GU-SO, S.A. de C.V. maeriales para colocación de concertina</t>
  </si>
  <si>
    <t>Home Depot México, S. de R.L. de C.V. materiales p/colocación de concertina</t>
  </si>
  <si>
    <t>Pedro Bazzan, pago por recolección de basura en fin de semana 3er domingo</t>
  </si>
  <si>
    <t>Hilario Sebastían Franco, comida vigilancia 3er domingo</t>
  </si>
  <si>
    <t>Carola Luna, pago en apoyo cobranza 3er domingo</t>
  </si>
  <si>
    <t>Carlos Almarás, poda pastto parque del fracc.</t>
  </si>
  <si>
    <t>Cadena Comercial Oxxo, S.A. de C.V. compra de ázucar para vigilancia</t>
  </si>
  <si>
    <t>Patrulla (Morales) gratificación por rondines en todo el fracc. 4Ta. Semana</t>
  </si>
  <si>
    <t>Lenix Security Alarm, Servicio de revisión para control de acceso y plumas</t>
  </si>
  <si>
    <t>Panadería La Esperanza, S.A. de C.V. pan para vigilancia</t>
  </si>
  <si>
    <t>Roberto Espinoza Ramírez, café para mesa de cobranza</t>
  </si>
  <si>
    <t>Joel Eduardo Arago Rios, bolsas para basura de casetas</t>
  </si>
  <si>
    <t>Lenix Security Alarm, Calibración de barrera vehicular caseta Zinampa</t>
  </si>
  <si>
    <t>Lenix Security Alarm, Revisión a CCTV y soporte técnico control acceso</t>
  </si>
  <si>
    <t>Nueva Walmart de México, S. de R.L. de C.V. refrescos para casetas</t>
  </si>
  <si>
    <t>Servicio Robledo, S.A. de C.V. gasolina poda pasto fraccionamiento</t>
  </si>
  <si>
    <t>Irsa, S. de R.L. de C.V. 2 garrafones para casetas del fracciionamiento</t>
  </si>
  <si>
    <t>Servicio El Hueso, S.A. de C.V. varias diligencias</t>
  </si>
  <si>
    <t>Juan Carlos Montiel, comida vigilancia 4To domingo</t>
  </si>
  <si>
    <t>Antonio González, poda pasto parque</t>
  </si>
  <si>
    <t>Recaudación de cobranza 4to domingo</t>
  </si>
  <si>
    <t>Papelería Omega, Papelería</t>
  </si>
  <si>
    <t>Comercializadora Gu-So, S.A. de C.V. varios materiales para casetas</t>
  </si>
  <si>
    <t>Grupo Alguacil Dorado en Seguridad Privada, S.A. de C.V, pago vigilante  2da</t>
  </si>
  <si>
    <t>Israel Galán Quintin, arreglo de chapa puerta peatonal de Estanzuela</t>
  </si>
  <si>
    <t>Planchaduría Joan, lavado de 3 cobijas para casetas</t>
  </si>
  <si>
    <t>Esteban Alejó Hernández, comida para vigilancia 1er domingo</t>
  </si>
  <si>
    <t>Quálitas Compañía de Seguros, pago por accidente en plumas caseta Zinampa</t>
  </si>
  <si>
    <t>Tintorería y Planchaduría Estrella, lavado de 2 uniformes de vigilancia</t>
  </si>
  <si>
    <t>Camioneta basura, pago por recolección de bolsas con pasto podado</t>
  </si>
  <si>
    <t>Papelería Omega, copias para informe al fraccionamiento</t>
  </si>
  <si>
    <t>Comercializadora GU-SO, S.A. de C.V. compra de botas jardinería p/vigilancia</t>
  </si>
  <si>
    <t>Nueva Walmart de México, S.A. de C.V. materiales de limpieza para casetas</t>
  </si>
  <si>
    <t>Antelmo Chávez, pago por cambio de bujias a podadora</t>
  </si>
  <si>
    <t>Antelmo Chávez, pago poda pasto del parque</t>
  </si>
  <si>
    <t>Hilario Sebastían Franco, pago por recolección de pasto podado y hojasca</t>
  </si>
  <si>
    <t>Natalia Guadalupe Bueno Rendón, pago de entrega de circulares a todo el fracc</t>
  </si>
  <si>
    <t>Tlapalería El Quetzal, compra de bolsas para pasto podado del parque</t>
  </si>
  <si>
    <t>Recaudación de cobranza 1er domingo</t>
  </si>
  <si>
    <t>Ema Long, pago en apoyo de cobranza 1er domingo</t>
  </si>
  <si>
    <t>Natalia Guadalupe Bueno Rendón, pago en apoyo de cobranza    1er domingo</t>
  </si>
  <si>
    <t>Hilario Sebastían Franco, comida vigilancia 1er domingo</t>
  </si>
  <si>
    <t>Elena Osorio, café mesa de cobranza 1er domingo</t>
  </si>
  <si>
    <t>Patrulla (Molares) gratificación por rondines en todo el fracc. 1er semana</t>
  </si>
  <si>
    <t>La teresita del Sur, compra de alimentos para mesa directiva junta</t>
  </si>
  <si>
    <t>Bici Express, refacciones para bicicleta del fraccionamiento</t>
  </si>
  <si>
    <t>Antelmo Chávez, pasto podado del parque</t>
  </si>
  <si>
    <t>Servicio Robledo, S.A. de C.V. gasolina para podadora</t>
  </si>
  <si>
    <t>Bolsas Desechables Del Sur, compra de cubrebocas</t>
  </si>
  <si>
    <t>Bolsas Desechables Del Sur, bolsas para basura de casetas</t>
  </si>
  <si>
    <t>Cadena Comercial Oxxo, S.A. de C.V. pago telefono junio</t>
  </si>
  <si>
    <t xml:space="preserve">Antelmo Chávez, poda pasto parque </t>
  </si>
  <si>
    <t>Carlos Almaráz, poda pasto parque</t>
  </si>
  <si>
    <t>Estación de Servicio 3994, gasolina varias diligencias del fraccionamiento</t>
  </si>
  <si>
    <t>Cadena Comercial Oxxo, S.A. de C.V. tiempo aire para JT de vigilancia</t>
  </si>
  <si>
    <t>Nueva Walmart de México, S.A. de C.V. papelería</t>
  </si>
  <si>
    <t>Hilario Sebastían Franco, recolección de pasto podado y hojarasca</t>
  </si>
  <si>
    <t>Sebastían Pérez Julian, pago por recolección de pasto podado y hojarasca</t>
  </si>
  <si>
    <t>Cadena Comercial Oxxo, S.A. de C.V. compra de refrescos para ingeniero cama</t>
  </si>
  <si>
    <t>Eva Martínez, pago en apoyo cobranza 2do domingo</t>
  </si>
  <si>
    <t>Elena Osorio, café mesa de cobranza 2do domingo</t>
  </si>
  <si>
    <t>Patrulla (Molares) gratificación por rondines en todo el fracc. 2da semana</t>
  </si>
  <si>
    <t>Cadena Comercial Oxxo, S.A. de C.V. refrescos mesa de cobranza</t>
  </si>
  <si>
    <t>Recaudación de cobranza 2do domingo</t>
  </si>
  <si>
    <t>Bici Express, mantenimiento a bicicletas del fraccionamiento</t>
  </si>
  <si>
    <t>Lenix Security Alarm, paquete QC pases acceso pro 25 piezas control vehicular</t>
  </si>
  <si>
    <t>Tradición en Pastelería, S.A. de C.V. café mesa directiva junta</t>
  </si>
  <si>
    <t xml:space="preserve">Papelería Omega, copias </t>
  </si>
  <si>
    <t>Bolsas y Desechables Del Sur, bolsas para pasto podado</t>
  </si>
  <si>
    <t>Servicio Del Hueso, S.A. de C.V. gasolina varias diligencias</t>
  </si>
  <si>
    <t>Brian Alexis Rangel Arellano, gratificación por terminó de trabajo como vigilan</t>
  </si>
  <si>
    <t>Farmacia Guadalaja, S.A. de C.V. compra de medicamentos para botiquin</t>
  </si>
  <si>
    <t>Lenix Security Allarm, Pago servicio a barreras vehiculares</t>
  </si>
  <si>
    <t>Comercializadora GU-SO, S.A. de C.V. compra de lentes e hilo para desbrozado</t>
  </si>
  <si>
    <t>Elena Osorio, café mesa de cobranza</t>
  </si>
  <si>
    <t>Karola Tellez, pago en apoyo cobranza 3er domingo</t>
  </si>
  <si>
    <t>Servicio Cómputo, configuración y actualización de tarjetas electrónicas</t>
  </si>
  <si>
    <t>Miniso México, S.A.P.I. de C.V. paraguas para casetas</t>
  </si>
  <si>
    <t>Papeleria Omega, copias</t>
  </si>
  <si>
    <t>Lenix Security Alarm, pago por revisión de barrera vehicular</t>
  </si>
  <si>
    <t>Panerias La Esperanza S.A. de C.V. pan junta directiva</t>
  </si>
  <si>
    <t>Eduardo Hernández, pago por revisión y arreglo de desbrosadora</t>
  </si>
  <si>
    <t>Karola Tellez, pago por recuperación de video Estanzuela 57, agreción a vigilan</t>
  </si>
  <si>
    <t>Sebastían Pérez Julian, pago por reparto de circulares en todo el fraccionamien</t>
  </si>
  <si>
    <t>Tiendas Chedraui, S.A. de C.V. materiales de limpieza para casetas</t>
  </si>
  <si>
    <t>Israel Galán Quíntin, 20 duplicados de llaves puertas de acceso peatonal</t>
  </si>
  <si>
    <t>Israel Galán Quíntin, pago por arreglo y revisión de chapa de Cuchilla</t>
  </si>
  <si>
    <t>Irsa S. de R.L. de C.V. 2 garrafones de agua</t>
  </si>
  <si>
    <t>Pharma Plus, S.A. de C.V. Medicamentos para botiquin de casetas</t>
  </si>
  <si>
    <t>Antelmo Chávez, pago poda pasto del 21, 22,23 y 23 de julio</t>
  </si>
  <si>
    <t>Carlos Almaráz, poda pasto parque 21 y 24 de julio</t>
  </si>
  <si>
    <t>Juan Carlos Montiel, comida vigilancia 4to. domingo</t>
  </si>
  <si>
    <t>Patrulla (Morales) gratificación por rondines en todo el fracc. 4ta. Semana</t>
  </si>
  <si>
    <t>Cadena Comercial Oxxo, S.A. de C.V. compra de refrescos para mesa cobranza</t>
  </si>
  <si>
    <t>Sebastian Pérez Julian, Pago por recolección de pasto podado</t>
  </si>
  <si>
    <t>Lenix Security Alarm, transformador CCTV para cámara de EZ y ZB</t>
  </si>
  <si>
    <t>Lenix Security Alarm, mano de obra de transformador</t>
  </si>
  <si>
    <t>Irsa S. de R.L. de C.V. 1 garrafones de agua</t>
  </si>
  <si>
    <t xml:space="preserve">Antelmo Chávez, pago poda pasto del fraccionamiento </t>
  </si>
  <si>
    <t>prestamo</t>
  </si>
  <si>
    <t>gloria</t>
  </si>
  <si>
    <t>elena</t>
  </si>
  <si>
    <t>vigilancia</t>
  </si>
  <si>
    <t>olivia</t>
  </si>
  <si>
    <t>Servicio El Hueso, S.A. de C.V. gasolina para poda pasto</t>
  </si>
  <si>
    <t>Waldos Dólar Mart de México, S. de R.L. de C.V. compra de desinfectantes</t>
  </si>
  <si>
    <t>Propimex, S. de R.L. de C.V. refrescos para vigilancia</t>
  </si>
  <si>
    <t>Comercializadora GU-SO, S.A. de C.V. compra de botas para vigilancia</t>
  </si>
  <si>
    <t>Bici Express, ajuste de suspensión a bicicleta</t>
  </si>
  <si>
    <t>Siegrist Contadores Públicos, Pago  de honorarios profesionales  junio/21</t>
  </si>
  <si>
    <t>Elena Osorio, compra de café para mesa de cobranza 1er domingo</t>
  </si>
  <si>
    <t xml:space="preserve">Emma Long, pago en apoyo cobranza 1er domingo </t>
  </si>
  <si>
    <t>Patrulla (Lázaro) gratificación por rondines en todo el fracc 1er semana</t>
  </si>
  <si>
    <t xml:space="preserve">Servicio Del Hueso, S.A. de C.V. gasolina podadora </t>
  </si>
  <si>
    <t>Comercializadora GU-SO, S.A. de C.V. aceite de 2 tiempos para podadora</t>
  </si>
  <si>
    <t xml:space="preserve">Sistemas y Cómputo, pago por revisión de internet y cambio de cableado </t>
  </si>
  <si>
    <t>Israel García, pago por cambio de luminarias de EZ,CL y RM</t>
  </si>
  <si>
    <t>Juan Carlos Macedo, pago por recoleción de pasto del 2,3,4,5 y 6 agosto</t>
  </si>
  <si>
    <t>Antelmo Chávez, pago por poda pasto del 28,29 julio y 2,3,5,y 6 agosto</t>
  </si>
  <si>
    <t>Tiendas Chedraui, S.A. de C.V. pago telefono caseta mes de julio</t>
  </si>
  <si>
    <t>Cesar Enrique Cruz, comida junta mesa directiva</t>
  </si>
  <si>
    <t>Papelería Omega, copias informe trimestral a todo el fraccionamiento</t>
  </si>
  <si>
    <t>Elena Osorio, compra de café para mesa de cobranza 2do domingo</t>
  </si>
  <si>
    <t>Sistemas y Cómputo, pago por recuperación de video</t>
  </si>
  <si>
    <t>Cesar Jamel, pago por reparto de circulares en todo el fraccionamiento</t>
  </si>
  <si>
    <t>Siegrist Contadores Públicos, Pago  de honorarios profesionales  julio/21</t>
  </si>
  <si>
    <t>Electropura, S. de R.L. de C.V. 1 garrafones de agua para casetas</t>
  </si>
  <si>
    <t xml:space="preserve">Soriana, compra de material de limpieza para casetas </t>
  </si>
  <si>
    <t xml:space="preserve">Bolsas y Desechables del Sur, compra de bolsas para basura </t>
  </si>
  <si>
    <t>Bici Express, refacciones para bicicleta de rondines del fraccionamiento</t>
  </si>
  <si>
    <t>Cadena Comercial Oxxo, S.A. de C.V. refrescos para mesa de cobranza</t>
  </si>
  <si>
    <t>Electropura S. de R.L. de C.V. 2 garrafones de agua para casetas</t>
  </si>
  <si>
    <t>Antelmo Chávez, pago poda pasto 8,9,10,11,12,13,14 y 15 agosto</t>
  </si>
  <si>
    <t>Carlos Almaráz, pago recolección de pasto y hojarasca del 8,9,10,11,12,13,14,15</t>
  </si>
  <si>
    <t>Patrulla (Lázaro) gratificación por rondines en todo el fracc 3er semana</t>
  </si>
  <si>
    <t>Vigilancia, tabletas de veneno para parque ratones</t>
  </si>
  <si>
    <t xml:space="preserve">Vigilancia, escoba para casetas </t>
  </si>
  <si>
    <t xml:space="preserve">Servicio Robledo, S.A. de C.V. gasolina para podadora </t>
  </si>
  <si>
    <t>Tiendas Chedraui, S.A. de C.V. 2 desinfectantes para mesa directiva</t>
  </si>
  <si>
    <t>Irsa S de R.L. de C.V., 1 garrafon para caseta</t>
  </si>
  <si>
    <t>Israel García, arreglo de cableado de luminarias circuito de EZ y dentro parque</t>
  </si>
  <si>
    <t>Directo a Placa, 2000 recibos para cobranza</t>
  </si>
  <si>
    <t>Cadena Comercial Oxxo, S.A. de C.V. tiempo aire para JT vigilancia</t>
  </si>
  <si>
    <t>Juan Carlos Montiel, comida vigilancia 4to domingo</t>
  </si>
  <si>
    <t>Elena Osorio, café cobranza 4to domingo</t>
  </si>
  <si>
    <t>Patrulla (Lázaro) gratificación por rondines en todo el fracc. 4ta semana</t>
  </si>
  <si>
    <t>Irsa S de R.L. de C.V., 3 garrafones de agua para casetas</t>
  </si>
  <si>
    <t>Nueva Walmart de México, S. de R.L. de C.V. material de limpieza para casetas</t>
  </si>
  <si>
    <t>Comercializadora GU-SO, S.A. de C.V. pala para jardin</t>
  </si>
  <si>
    <t>Pedro Bazzan, pago por recolección de basura en fin de semana 5to domingo</t>
  </si>
  <si>
    <t>Hilario Sebastían Franco, comida para vigilancia 5to domingo</t>
  </si>
  <si>
    <t>Elena Osorio, café cobranza 5to domingo</t>
  </si>
  <si>
    <t>Sebastian Pérez Julian, recolección pasto y hojasca 17,19,23,,24,28 y 1 sep</t>
  </si>
  <si>
    <t>Antelmo Chávez, pago poda pasto 17,18,23,25,27,28 y 1 sep</t>
  </si>
  <si>
    <t>Alejandro Osorio, compra de 100 tarjetas electrónicas para plumas</t>
  </si>
  <si>
    <t>Sistema de Computo, configuración de tarjetas electrónicas, actualización</t>
  </si>
  <si>
    <t>Recaudación de cuotas 5ta domingo</t>
  </si>
  <si>
    <t xml:space="preserve">Cadena Comercial Oxxo, S.A. de C.V. refrescos para vigilancia </t>
  </si>
  <si>
    <t>Irsa S. de R.L. de C.V. 2 garrafones</t>
  </si>
  <si>
    <t>Bolsas Eco-Comp, bolsas para basura del parque</t>
  </si>
  <si>
    <t xml:space="preserve">Materiales y Tlapalería La Palma, materiales para luminarias </t>
  </si>
  <si>
    <t>Gabriel Avila Hernández, colocación de interruptor de seguridad de 3 por 60</t>
  </si>
  <si>
    <t>Comercializadora GU-SO, S.A. de C.V. matieriales para alumbrado del parque</t>
  </si>
  <si>
    <t>Siegrist Contadores Públicos, Pago  de honorarios profesionales  agosto/21</t>
  </si>
  <si>
    <t>Gabriel Avila Hernández, ajuste de cableado camaras parque y limpieza equip</t>
  </si>
  <si>
    <t xml:space="preserve">Roman Hernández, poda de 2 árboles desprendidos de raíz en el parque </t>
  </si>
  <si>
    <t>Pedro Bazzan, pago por recolección basura en fin de semana 1er domingo</t>
  </si>
  <si>
    <t>Sistema de Computo, recuperación de video en Rancho Cuchilla</t>
  </si>
  <si>
    <t xml:space="preserve">Servicio El Hueso, S.A. de C.V. gasolina para podadora </t>
  </si>
  <si>
    <t>Irsa S. de R.L. de C.V. 3 garrafones</t>
  </si>
  <si>
    <t>Roberto Espinoza Ramírez, compra de café para junta mesa directiva</t>
  </si>
  <si>
    <t>Lenix Security Alarm, servicio a sistema de cámaras</t>
  </si>
  <si>
    <t>Patrulla (Lázaro) gratificación por rondines en fraccionamiento 1er semana</t>
  </si>
  <si>
    <t>Antelmo Chávez, poda pasto parque del 4,5 y 7 de septiembre</t>
  </si>
  <si>
    <t>Sebastián Pérez Julian, recolección de pasto podado y hojasca 4,5 y7 de sep</t>
  </si>
  <si>
    <t>Servicio El Hueso, S.A. de C.V. gasolina varias diligencias</t>
  </si>
  <si>
    <t>Mega Comercial Mexicana, café para vigilancia</t>
  </si>
  <si>
    <t>Aldan Electrónica, S.A. de C.V., convertidor radio vigilancia</t>
  </si>
  <si>
    <t>Bici Express, refacciones para bicicleta de rondines</t>
  </si>
  <si>
    <t>7Eleven México, S.A. de C.V. pago telefono del mes de julio</t>
  </si>
  <si>
    <t>Distribuidora El Bollo Cafetales, S.A. de C.V. pan para vigilancia</t>
  </si>
  <si>
    <t>Camioneta de basura, recolección de bolsas de pasto podado</t>
  </si>
  <si>
    <t>Gabriel Avila Hernández, arreglo cableado corto poste parque para caseta</t>
  </si>
  <si>
    <t xml:space="preserve">Irsa, S. de R.L. de C.V., 2 garrafones de agua </t>
  </si>
  <si>
    <t>Servicio El Hueso, S.A. de C.V. gasolina para desbrozadora</t>
  </si>
  <si>
    <t>Carola Olguin, pago en apoyo cobranza 2do domingo</t>
  </si>
  <si>
    <t>Saul Gallegos, comida vigilancia 2do. Domingo</t>
  </si>
  <si>
    <t xml:space="preserve">Servicio Robledo, S.A. de C.V. gasolina podadora </t>
  </si>
  <si>
    <t>Eduardo Hernández, limpieza general de valvúlas desbrozadora</t>
  </si>
  <si>
    <t>Tradición en Pastelerías, S,A, de C.V. café junta mesa directiva</t>
  </si>
  <si>
    <t>Patrulla (Morales) gratificación por rondines en fraccionamiento 2da semana</t>
  </si>
  <si>
    <t>Antelmo Chávez, poda pasto parque del 8,11</t>
  </si>
  <si>
    <t>Sebastián Pérez Julian, recolección de pasto podado y hojarasca, 8,10</t>
  </si>
  <si>
    <t xml:space="preserve">Recaudación de cuotas 3er domingo </t>
  </si>
  <si>
    <t>7eleven México, S.A. de C.V. refrescos para vigilancia</t>
  </si>
  <si>
    <t>Nueva Walmart de México, S. de R.L. de C.V. tostadas para cena mexicana</t>
  </si>
  <si>
    <t>Cocina Sr. Gil, pozole para cena mexicana vigilancia</t>
  </si>
  <si>
    <t>Israel García, pago corto en poste de caseta ZB y arreglo de luminarias circuito</t>
  </si>
  <si>
    <t>Patrulla (Lázaro) gratificación por rondines en fraccionamiento 3er semana</t>
  </si>
  <si>
    <t>Elena Osorio, café para mesa de cobranza 3er domingo</t>
  </si>
  <si>
    <t>Sistema de Computo, recuperación de video en caseta Zinamapa</t>
  </si>
  <si>
    <t>Antelmo Chavéz pago poda psto del 15,1617,18 y 20</t>
  </si>
  <si>
    <t>Sebastían Perez Julian, pago recolección de pasto, hojarasca 13,14,16,17</t>
  </si>
  <si>
    <t>Copifaz, papelería</t>
  </si>
  <si>
    <t>Cadena Comercial Oxxo, SA. De C.V. refrescos para vigilancia</t>
  </si>
  <si>
    <t>Eco-Comp, bolsas desechables para basura y pasto podado</t>
  </si>
  <si>
    <t>Israel García, pago reparación de luminarias de Zinampa y Cuchilla</t>
  </si>
  <si>
    <t>Comercializadora GU-SO, S.A. de C.V. aceite de dos tiempos para podadora</t>
  </si>
  <si>
    <t>Cadena Comercial Oxxo, S.A. de C.V., tiempo aire para JT vigilancia</t>
  </si>
  <si>
    <t>Pedro Bazzan, pago por recolección de basura en fin de semana 4to. Domingo</t>
  </si>
  <si>
    <t>Saúl Gallegos, comida vigilancia 4to domingo</t>
  </si>
  <si>
    <t>Recolección de basura 4to domingo</t>
  </si>
  <si>
    <t>Irsa S. de R.L. de C.V. 2 garrafones caseta vigilancia</t>
  </si>
  <si>
    <t>Patrulla (Morales) gratificación por rondines en fraccionamiento 4ta semana</t>
  </si>
  <si>
    <t>Antelmo Chávez, pago poda pasto de 22 y 27 de septiembre</t>
  </si>
  <si>
    <t>Sebastían Perez Julian, pago recolección de pasto, hojarasca 22,23,24,25 y 27</t>
  </si>
  <si>
    <t>Pedro Bazzan, pago por recolección de basura en todo el fracc. 2da quincena</t>
  </si>
  <si>
    <t>A.M.S.A. Tlalpan, materiales de limpeza para casetas</t>
  </si>
  <si>
    <t>Panadería Hogaza, café para junta mesa directiva</t>
  </si>
  <si>
    <t>AutoZone, de México, S. de R.L. de C.V. materiales para arreglo luz parque</t>
  </si>
  <si>
    <t>Cadena Comercial Oxxo, S.A. de C.V. agua para vigilancia</t>
  </si>
  <si>
    <t>Gabriel Aavila Hernández, cambio de palanca del interrutor de las pastillas pos</t>
  </si>
  <si>
    <t>Gabriel Avila Hernández, revisión y arreglo de conexiones de lamparas suburb</t>
  </si>
  <si>
    <t>Antelmo Chávez, poda pasto del 29 y 30 de septiembre</t>
  </si>
  <si>
    <t>Roberto Espinoza Ramírez, café junta mesa directiva</t>
  </si>
  <si>
    <t>Recaudación de cuotas ultima semana de septiembre</t>
  </si>
  <si>
    <t>Comercializadora GU-SO, S.A. de C.V. materiales para arreglo luz parque</t>
  </si>
  <si>
    <t>Siegrist Contadores Públicos, Pago  de honorarios profesionales  sep/21</t>
  </si>
  <si>
    <t>Camioneta basura, recolección de bolsas de pasto podado</t>
  </si>
  <si>
    <t>Israel Galán Quintin, 20 llaves para puertas de acceso peatonal</t>
  </si>
  <si>
    <t>Israel Galán Quintin, mantenimiento chapas puertas peatonales del fracc.</t>
  </si>
  <si>
    <t>Abuyani Noé Rodriguez, recolección de cable de telmex en todo el fracc.</t>
  </si>
  <si>
    <t>Servicio El Hueso, S.A. de C.V. gasolina para podadora</t>
  </si>
  <si>
    <t xml:space="preserve">Antelmo Chávez, poda parque del 4 y 5 </t>
  </si>
  <si>
    <t>Irsa S. de R.L. de C.V. 2 garafones de agua</t>
  </si>
  <si>
    <t xml:space="preserve">Servicio El Hueso, S.A. de C.V. gasolina podadora </t>
  </si>
  <si>
    <t>Saul Gallegos, comida vigilancia 2do domingo</t>
  </si>
  <si>
    <t>Elena Osorio, café para mesa de cobranza, 2do domingo</t>
  </si>
  <si>
    <t>Patrulla (Morales) gratificación por rondines en todo el fracc. 2da semana</t>
  </si>
  <si>
    <t>Raúl Campos, afilador tijeras y pala para hierva</t>
  </si>
  <si>
    <t>Karola Olguín, pago en apoyo cobranza 2do domingo</t>
  </si>
  <si>
    <t>Telefonos de Mexico, S.A.B. de C.V. pago telefono mes de septiembre</t>
  </si>
  <si>
    <t>Antelmo Chávez, poda parque del 6,8,9,10 y 12</t>
  </si>
  <si>
    <t>Tradición en Pastelerías, S.A. de C.V. café para junta mesa directiva</t>
  </si>
  <si>
    <t>Eco-Comp, bolsas para pasto podado</t>
  </si>
  <si>
    <t>Electropura, S. de R.L. de C.V. 3 garafones de agua casetas</t>
  </si>
  <si>
    <t>Comercializadora GU-SO, S.A. de C.V. materiales para compostura baño ZB</t>
  </si>
  <si>
    <t>Sistemas y Cómputo, actualización de DVR caseta Zinampa</t>
  </si>
  <si>
    <t>Amador Morales, reparación de baño caseta Zinampa</t>
  </si>
  <si>
    <t xml:space="preserve">Antelmo Chávez, pago poda pasto 12,13,15 y 18 </t>
  </si>
  <si>
    <t>Gabriel Avila Hernández, limpieza y mantenimiento en equipo de monitores</t>
  </si>
  <si>
    <t>Pedro Bazzan, pago por recolección de basura en fin de smena 3er domingo</t>
  </si>
  <si>
    <t>Patrulla (Lázaro) gratificación por rondines en todo el fracc. 3er domingo</t>
  </si>
  <si>
    <t>Mercado Cuemanco, 1 tr de Yervisida para plaga en parque</t>
  </si>
  <si>
    <t>Estación de Servcio 3994, gasolina varias diligencias</t>
  </si>
  <si>
    <t xml:space="preserve">Servicio Del Hueso, S.A. de C.V. gasolina poda pasto </t>
  </si>
  <si>
    <t>Saul Gallegos, comida vigilancia 3er domingo</t>
  </si>
  <si>
    <t>Materiales y Tlapaería La Palma, bomba para baño caseta Zinampa</t>
  </si>
  <si>
    <t>Sebastían Pérez Julian, pago por recolección de pasto podado</t>
  </si>
  <si>
    <t>Hilario Sebasrían Franco, pago por repartir circular 3er informe en todo el fracc</t>
  </si>
  <si>
    <t>Papelería Omega, copias 3er informe a todo el fraccionamiento</t>
  </si>
  <si>
    <t>Materiales y Tlapaería La Palma, valbula y flotador caseta Zinampa</t>
  </si>
  <si>
    <t>Amador Morales, cambio de bomba y destapado de drenaje coladera baño ZB</t>
  </si>
  <si>
    <t>Antelmo Chávez, pora pasto 23 y 24</t>
  </si>
  <si>
    <t>Karola Olguín, pago en apoyo cobranza 4to domingo</t>
  </si>
  <si>
    <t>Lenix Security Alarm, servicio a 4 casetas en monitores</t>
  </si>
  <si>
    <t>Israel García, cambio de luminaria en Cuchilla</t>
  </si>
  <si>
    <t>Recaudación de cuotas 5to domingo</t>
  </si>
  <si>
    <t>La Peque, papelería</t>
  </si>
  <si>
    <t xml:space="preserve">Papelería Copifax, copias </t>
  </si>
  <si>
    <t>Israel García, cambio de luminarías de Cuchilla, Landero y Zinampa</t>
  </si>
  <si>
    <t>Panería La Esperanza, pan para vigilancia</t>
  </si>
  <si>
    <t>Nueva Walmart de México, S. de R.L. de C.V. microfono para asamblea parque</t>
  </si>
  <si>
    <t>Sebastían Pérez Julian, pago por recolección de pasto podado 28, 29 y 30</t>
  </si>
  <si>
    <t>Cadena Comercial Oxxo, S.A. de C.V. agua para mesa directiva</t>
  </si>
  <si>
    <t>Antelmo Chávez, pago poda pasto 27, 28 y 29</t>
  </si>
  <si>
    <t>Sistema de Cómputo, pago por actualización de monitores y recuperación vide</t>
  </si>
  <si>
    <t>Mercado Cuemanco, 2 botes de basura para casetas</t>
  </si>
  <si>
    <t>Elena Osorio, café para mesa de cobranza 5to domingo</t>
  </si>
  <si>
    <t>Multigenericos Cafetales, medicamentos para botiquin de casetas</t>
  </si>
  <si>
    <t xml:space="preserve">Pago mantenimiento mes de octubre  Colegio Carmel </t>
  </si>
  <si>
    <t xml:space="preserve">Pago mantenimiento mes de septiembre  Colegio Carmel </t>
  </si>
  <si>
    <t xml:space="preserve">Pago mantenimiento mes de agosto  Colegio Carmel </t>
  </si>
  <si>
    <t xml:space="preserve">Pago mantenimiento mes de julio  Colegio Carmel </t>
  </si>
  <si>
    <t>Israel Galán Quintin, repración de chapa puerta Estanzuela</t>
  </si>
  <si>
    <t>Pedro Bazzan, pago por recolección de basura en fin de semena 3er domingo</t>
  </si>
  <si>
    <t>Siegrist Contadores Públicos, Pago  de honorarios profesionales  octubre/21</t>
  </si>
  <si>
    <t xml:space="preserve">Recaudación de cuotas 2do domingo </t>
  </si>
  <si>
    <t xml:space="preserve">Tradición en Pastelería , S.A. de C.V. café junta mesa directiva </t>
  </si>
  <si>
    <t>Servicio del Hueso, S.A. de C.V. gasolina varias diligencias</t>
  </si>
  <si>
    <t>Panerías La Esperanza, S.A. de C.V. pan para vigilancia</t>
  </si>
  <si>
    <t>Nueva Walmart de México, S. de R.L. de C.V. material de limpieza casetas</t>
  </si>
  <si>
    <t>Eco-Comp, bolsas para basura</t>
  </si>
  <si>
    <t>Camioneta basura, recolección de bolsas con pasto podado</t>
  </si>
  <si>
    <t>Irsa S. de R.L. de C.V. 4 garrafones para casetas</t>
  </si>
  <si>
    <t>Materiales y Tlapalería La Palma, piola para árboles del parque</t>
  </si>
  <si>
    <t>Italcafé, S.A. de C.V. junta mesa directiva asamblea</t>
  </si>
  <si>
    <t>Saúl Gallegos, comida vigilancia 1er domingo</t>
  </si>
  <si>
    <t>Elena Osorio, café para mesa de cobranza 1er domingo</t>
  </si>
  <si>
    <t>Emma Long, pago en apoyo cobranza 1er domingo</t>
  </si>
  <si>
    <t>Cesar Eduardo Vicente Ayala, poda pasto 4,6,7 y 8</t>
  </si>
  <si>
    <t xml:space="preserve">Cartero, gratificación a cartero </t>
  </si>
  <si>
    <t>Cadena Comercial Oxxo, S.A. de C.V. pago telefono casetas mes de octubre</t>
  </si>
  <si>
    <t>Cadena Comercial Oxxo, S.A. de C.V. pago comisión telefono</t>
  </si>
  <si>
    <t>Saúl Gallegos, trabajos diversos en el fraccionamiento</t>
  </si>
  <si>
    <t xml:space="preserve">Parques y Jardínes, poda de árbol en parque </t>
  </si>
  <si>
    <t>Dr. Jorge Alberto Martínez consulta para vigilancia</t>
  </si>
  <si>
    <t xml:space="preserve">Comercializadora GU-SO S.A. de C.V. candados </t>
  </si>
  <si>
    <t>Ricardo Conteras Angeles, compra de bicicleta para rondines del fraccionamie</t>
  </si>
  <si>
    <t>Sebastían Pérez Julian, poda pasto parque</t>
  </si>
  <si>
    <t>Elena Osorio, café para mesa de cobranza 2do domingo</t>
  </si>
  <si>
    <t>Raúl Campos, afilador de cuchilla podadora</t>
  </si>
  <si>
    <t xml:space="preserve">Pago mantenimiento mes de noviembre  Colegio Carmel </t>
  </si>
  <si>
    <t>Israel García, pago cableado de externo de luminarias de poste a poste 4 lumin</t>
  </si>
  <si>
    <t>Sistemas y Cómputo, pago por revisión cableado plumas y reinicio sistema</t>
  </si>
  <si>
    <t>Servicio Iman, S.A. de C.V. gasolina varias diligencias</t>
  </si>
  <si>
    <t>Prropimex, S. de R.L. de C.V. refrescos para vigilancia</t>
  </si>
  <si>
    <t>Lenix Security Alarm, servicio a  plumas control de acceso</t>
  </si>
  <si>
    <t>Nelson Hernández, compra de noche buenas para casetas</t>
  </si>
  <si>
    <t>Irsa S. de R.L. de C.V. 3 garrafones de agua para casetas</t>
  </si>
  <si>
    <t>Servicio El Hueso, S.A. de C.V. gasolina podadora</t>
  </si>
  <si>
    <t>Nueva Walmart de México, S. de R.L. de C.V. enchufe para caseta</t>
  </si>
  <si>
    <t>Saul Gallegos, comida vigilnacia 3er domingo</t>
  </si>
  <si>
    <t>Antelmo Chávez, pora pasto y recolección del mismo del 15, 16,17,20,21 y 22</t>
  </si>
  <si>
    <t>Comercializadora GU-SO S.A. de C.V. parrilla para caseta</t>
  </si>
  <si>
    <t>Gloria Mazzón Soto, pago en apoyo cobranza 3er domingo</t>
  </si>
  <si>
    <t>Patrulla (Molares) gratificación por rondines en todo el fracc. 3er semana</t>
  </si>
  <si>
    <t>Siegrist Contadores Públicos, Pago anualidad 2021, gastos contables</t>
  </si>
  <si>
    <t>Home Center Casa Blanca, fusibles para corto caja poste Zinampa</t>
  </si>
  <si>
    <t>Oscar Rosas Salvador, revisión y arreglo de chapa de Estanzuela</t>
  </si>
  <si>
    <t>Marco Antonio B. arreglo de corto caja fusibles de poste Zinamapa</t>
  </si>
  <si>
    <t>Leonardo Hernández Martínez, compra de 5 llaves puertas de acceso peatonal</t>
  </si>
  <si>
    <t>Leonardo Hernández Martínez, arreglo chapa puerta Cuchilla</t>
  </si>
  <si>
    <t>Israel García, cerradura para reja calle Estanzuela</t>
  </si>
  <si>
    <t>Irsa S de .L. de C.V. 5 garrafones de agua para caseta</t>
  </si>
  <si>
    <t>Leonardo Hernández Martínez, pago por destrabar llave atorada en chapa UP</t>
  </si>
  <si>
    <t>Sebastían Pérez Julian, pago por cortar y recolección de pasto</t>
  </si>
  <si>
    <t>Elena Osorio, café para mesa de cobranza 4to domingo</t>
  </si>
  <si>
    <t>Patrulla (Morales) gratificación por rondienes en todo el fracc. 4ta semana</t>
  </si>
  <si>
    <t>Carolina Olguin, pago en apoyo cobranza 4to domingo</t>
  </si>
  <si>
    <t>Siegrist Contadores Públicos, Pago  de honorarios profesionales  nov/2021</t>
  </si>
  <si>
    <t>Sistemas y Cómputo, pago por edición de video del parque</t>
  </si>
  <si>
    <t>Timo Hernández, reparación de podadora</t>
  </si>
  <si>
    <t>Cadena Comercial Oxxo, S.A. de C.V.  Refrescos para vigilancia</t>
  </si>
  <si>
    <t>Materiales y Tlapalería La Palma, aceite 4 tiempos para podadora</t>
  </si>
  <si>
    <t>Saul Gallegos, comida para vigilancia 1er domingo</t>
  </si>
  <si>
    <t>Carolina Olguin, edición de video parque</t>
  </si>
  <si>
    <t>Lenix Security Alarm, microfiltros (balum)para camaras de EP y RV</t>
  </si>
  <si>
    <t>Israel García, cambio de luminarias, 2 EZ, 1 EP, 1 ZB Y 2 clareo de árboles</t>
  </si>
  <si>
    <t>Tradición en Pastelerías, S.A. de C.V. pan para mesa directiva</t>
  </si>
  <si>
    <t>Hilario Sebastían, pago por barrer y recoger pasto parque banquetas</t>
  </si>
  <si>
    <t xml:space="preserve">Gratificación anual </t>
  </si>
  <si>
    <t>Distribuidora Edifre, S.A. de C.V., medicamento para botiquin</t>
  </si>
  <si>
    <t>Telefonos de México, S.A.B. de C.V. pago mes de noviembre</t>
  </si>
  <si>
    <t>Tiendas Chedraui, S.A. de C.V. materiales paa limpieza de casetas</t>
  </si>
  <si>
    <t>Refaccionaria Garlumex Disel y Gasolina, aceite para podadora</t>
  </si>
  <si>
    <t>Camioneta basura, recolección de bolsas con pasto podado y ramas por clareo</t>
  </si>
  <si>
    <t>Papelería Omega, adornos navideños para casetas</t>
  </si>
  <si>
    <t>Sistema de Cómputo, pago de edicción de 4 videos, vecino Cuchilla 123</t>
  </si>
  <si>
    <t xml:space="preserve">Timo Hernández, pago liquidación de compostura podadora </t>
  </si>
  <si>
    <t>Elena Osorio, café para mesa de cobranza 2dodomingo</t>
  </si>
  <si>
    <t>Patrulla (Lázaro) gratificación por rondines en todo el fracc. 2da semana</t>
  </si>
  <si>
    <t>Juan Antonio García Lona, desayuno mesa directiva fin de año</t>
  </si>
  <si>
    <t>Antelmo Chávez, pago poda pasto del 1,2,6,7,9,11,14</t>
  </si>
  <si>
    <t>Elena Osorio, compra de bolsas para basura y pasto podado</t>
  </si>
  <si>
    <t>Muebles para oficina, comercio e industria, locker y estante para casetas</t>
  </si>
  <si>
    <t xml:space="preserve">Sebastían Pérez, Julian, poda pasto y recoleccioón del 14,15,16 y 17 </t>
  </si>
  <si>
    <t>Oscar Galán, ajuiste de chapa de Estazuela</t>
  </si>
  <si>
    <t>Irsa, S. de R.L. de C.V. 3 garrafones para casetas</t>
  </si>
  <si>
    <t>Saul Gallegos, comida para vigilancia 3er domingo</t>
  </si>
  <si>
    <t>Roberto Miranda, gratificación especial fin de año</t>
  </si>
  <si>
    <t>Gloria Mazzón, pago en apoyo cobranza 3er domingo en mesa de cobranza</t>
  </si>
  <si>
    <t>Luis Hernández Anaya, soldadura de puerta peatonal Estanzuela</t>
  </si>
  <si>
    <t>Sistema de Cómputo, revisión de varios videos para diferentes vecinos</t>
  </si>
  <si>
    <t>-</t>
  </si>
  <si>
    <t>Antelmo Chávez, pago poda pasto del 21,22,23 y 24</t>
  </si>
  <si>
    <t xml:space="preserve">Oscar Galán, servicio a puerta de Rancho Cuchilla </t>
  </si>
  <si>
    <t>Lenix Security Alarm, camara bullet HD y microfiltro balon</t>
  </si>
  <si>
    <t>Lenix Security Alarm, servicio CCTV</t>
  </si>
  <si>
    <t>Luis Hernández Maya, cambio de contra a puerta de Cuchilla</t>
  </si>
  <si>
    <t xml:space="preserve">Bolsas de plastico, bolsas para pasto podado </t>
  </si>
  <si>
    <t>Irsa, S. de R.L. de C.V. 4 garrafones para casetas</t>
  </si>
  <si>
    <t>Cocina Gil, comida para cena 24 vigilancia</t>
  </si>
  <si>
    <t>Pedro Bazzan, pago por recolección de basura en fin de semana 4ta semana</t>
  </si>
  <si>
    <t>Juan Carlos Montiel, comida para vigilancia 4to domingo</t>
  </si>
  <si>
    <t>Elena Osorio, café mesa de cobranza 4to domingo</t>
  </si>
  <si>
    <t>Patrulla (Molares) gratificación por rondines en todo el fracc. 4ta semana</t>
  </si>
  <si>
    <t>Servicio de Cómputo, configuracion de tarjetas electrónicas, alta ba y gratifica</t>
  </si>
  <si>
    <t>Farmacia Guadalajara, S.A. de C.V. medicamentos para botiquin</t>
  </si>
  <si>
    <t>Cadena Comercial Oxxo, S.A. de C.V. tiempo aire JT</t>
  </si>
  <si>
    <t>Marco Antonio Hernández, reparación de caja fusibles del parque</t>
  </si>
  <si>
    <t xml:space="preserve">Antelmo Chávez, pago poda pasto </t>
  </si>
  <si>
    <t>Materiales y Tlapalería La Palma, 1 clavija para casetas</t>
  </si>
  <si>
    <t>Tiendas Tres B, S.A. de C.V. compra de multicontactos para casetas</t>
  </si>
  <si>
    <t>Camioneta basura, recolección de fierro viejo</t>
  </si>
  <si>
    <t>Servicio El Hueso S.A. de C.V. gasolina para poda pasto del parque</t>
  </si>
  <si>
    <t xml:space="preserve">Cocina Gil, cena fin de año para vigilancia, </t>
  </si>
  <si>
    <t xml:space="preserve">Irsa, S. de R.L. de C.V. 5 garrafones de agua </t>
  </si>
  <si>
    <t>Gabriel Avila Hernández, compra de material para balanceo de lamparas del p</t>
  </si>
  <si>
    <t>Cartero, gratificación anual</t>
  </si>
  <si>
    <t>Antelmo Chávez, poda árboles del parque caseta Zinampa</t>
  </si>
  <si>
    <t>Costoco de México, S.A. de C.V. presentes para mesa directiva</t>
  </si>
  <si>
    <t>Costoco de México, S.A. de C.V. presentes para Ing de cámaras,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</si>
</sst>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.00;[Red]#,##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4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applyFill="1"/>
    <xf numFmtId="0" fontId="3" fillId="0" borderId="0" xfId="0" applyFont="1"/>
    <xf numFmtId="49" fontId="2" fillId="0" borderId="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right"/>
    </xf>
    <xf numFmtId="4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3" xfId="0" applyNumberFormat="1" applyFont="1" applyBorder="1"/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4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2" fillId="0" borderId="7" xfId="0" applyNumberFormat="1" applyFont="1" applyBorder="1"/>
    <xf numFmtId="15" fontId="3" fillId="0" borderId="8" xfId="0" applyNumberFormat="1" applyFont="1" applyFill="1" applyBorder="1" applyAlignment="1">
      <alignment vertical="center"/>
    </xf>
    <xf numFmtId="15" fontId="3" fillId="0" borderId="3" xfId="0" applyNumberFormat="1" applyFont="1" applyFill="1" applyBorder="1" applyAlignment="1">
      <alignment vertical="center"/>
    </xf>
    <xf numFmtId="4" fontId="3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4" xfId="0" applyNumberFormat="1" applyFont="1" applyBorder="1"/>
    <xf numFmtId="17" fontId="2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3" xfId="0" applyFont="1" applyFill="1" applyBorder="1"/>
    <xf numFmtId="14" fontId="3" fillId="0" borderId="3" xfId="0" applyNumberFormat="1" applyFont="1" applyFill="1" applyBorder="1" applyAlignment="1">
      <alignment horizontal="center" vertical="center"/>
    </xf>
    <xf numFmtId="15" fontId="3" fillId="0" borderId="4" xfId="0" applyNumberFormat="1" applyFont="1" applyFill="1" applyBorder="1" applyAlignment="1">
      <alignment vertical="center"/>
    </xf>
    <xf numFmtId="14" fontId="3" fillId="0" borderId="10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/>
    </xf>
    <xf numFmtId="0" fontId="3" fillId="0" borderId="3" xfId="0" applyFont="1" applyBorder="1" applyAlignment="1"/>
    <xf numFmtId="14" fontId="2" fillId="0" borderId="4" xfId="0" applyNumberFormat="1" applyFont="1" applyBorder="1" applyAlignment="1">
      <alignment horizontal="center"/>
    </xf>
    <xf numFmtId="4" fontId="2" fillId="0" borderId="3" xfId="0" applyNumberFormat="1" applyFont="1" applyBorder="1"/>
    <xf numFmtId="0" fontId="3" fillId="0" borderId="3" xfId="0" applyFont="1" applyFill="1" applyBorder="1" applyAlignment="1"/>
    <xf numFmtId="14" fontId="0" fillId="0" borderId="0" xfId="0" applyNumberFormat="1"/>
    <xf numFmtId="15" fontId="3" fillId="0" borderId="17" xfId="0" applyNumberFormat="1" applyFont="1" applyFill="1" applyBorder="1" applyAlignment="1">
      <alignment vertical="center"/>
    </xf>
    <xf numFmtId="14" fontId="3" fillId="0" borderId="6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" fontId="2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right"/>
    </xf>
    <xf numFmtId="4" fontId="2" fillId="0" borderId="0" xfId="0" applyNumberFormat="1" applyFont="1" applyBorder="1"/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4" fontId="3" fillId="0" borderId="0" xfId="0" applyNumberFormat="1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14" fontId="3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17" fontId="2" fillId="0" borderId="0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Fill="1"/>
    <xf numFmtId="4" fontId="3" fillId="0" borderId="4" xfId="0" applyNumberFormat="1" applyFont="1" applyBorder="1"/>
    <xf numFmtId="0" fontId="2" fillId="0" borderId="0" xfId="0" applyFont="1" applyBorder="1" applyAlignment="1">
      <alignment horizontal="right"/>
    </xf>
    <xf numFmtId="4" fontId="2" fillId="0" borderId="16" xfId="0" applyNumberFormat="1" applyFont="1" applyBorder="1"/>
    <xf numFmtId="4" fontId="3" fillId="0" borderId="17" xfId="0" applyNumberFormat="1" applyFont="1" applyBorder="1"/>
    <xf numFmtId="4" fontId="3" fillId="0" borderId="7" xfId="0" applyNumberFormat="1" applyFont="1" applyBorder="1"/>
    <xf numFmtId="0" fontId="6" fillId="0" borderId="3" xfId="0" applyFont="1" applyBorder="1"/>
    <xf numFmtId="0" fontId="3" fillId="3" borderId="0" xfId="0" applyFont="1" applyFill="1"/>
    <xf numFmtId="0" fontId="7" fillId="0" borderId="0" xfId="0" applyFont="1"/>
    <xf numFmtId="14" fontId="3" fillId="0" borderId="3" xfId="0" applyNumberFormat="1" applyFont="1" applyBorder="1"/>
    <xf numFmtId="4" fontId="4" fillId="0" borderId="11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0" fontId="0" fillId="3" borderId="0" xfId="0" applyFill="1"/>
    <xf numFmtId="4" fontId="2" fillId="0" borderId="14" xfId="0" applyNumberFormat="1" applyFont="1" applyBorder="1" applyAlignment="1">
      <alignment horizontal="center"/>
    </xf>
    <xf numFmtId="4" fontId="3" fillId="0" borderId="3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/>
    <xf numFmtId="0" fontId="8" fillId="0" borderId="0" xfId="0" applyFont="1"/>
    <xf numFmtId="4" fontId="3" fillId="0" borderId="6" xfId="0" applyNumberFormat="1" applyFont="1" applyBorder="1" applyAlignment="1">
      <alignment horizontal="right"/>
    </xf>
    <xf numFmtId="4" fontId="0" fillId="0" borderId="0" xfId="0" applyNumberFormat="1" applyFill="1"/>
    <xf numFmtId="14" fontId="3" fillId="0" borderId="3" xfId="0" applyNumberFormat="1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left"/>
    </xf>
    <xf numFmtId="4" fontId="3" fillId="3" borderId="3" xfId="0" applyNumberFormat="1" applyFont="1" applyFill="1" applyBorder="1" applyAlignment="1">
      <alignment horizontal="right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L144"/>
  <sheetViews>
    <sheetView zoomScale="80" zoomScaleNormal="80" workbookViewId="0">
      <pane ySplit="3" topLeftCell="A137" activePane="bottomLeft" state="frozen"/>
      <selection pane="bottomLeft" activeCell="C156" sqref="C156"/>
    </sheetView>
  </sheetViews>
  <sheetFormatPr baseColWidth="10" defaultRowHeight="15" x14ac:dyDescent="0.25"/>
  <cols>
    <col min="1" max="1" width="1" customWidth="1"/>
    <col min="2" max="2" width="13.7109375" customWidth="1"/>
    <col min="3" max="3" width="86.140625" customWidth="1"/>
    <col min="4" max="10" width="13" customWidth="1"/>
    <col min="11" max="11" width="12.7109375" customWidth="1"/>
  </cols>
  <sheetData>
    <row r="1" spans="2:11" ht="19.5" thickBot="1" x14ac:dyDescent="0.35">
      <c r="B1" s="39"/>
      <c r="C1" s="6" t="s">
        <v>10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44196</v>
      </c>
      <c r="C4" s="12" t="s">
        <v>11</v>
      </c>
      <c r="D4" s="13"/>
      <c r="E4" s="14"/>
      <c r="F4" s="14"/>
      <c r="G4" s="14"/>
      <c r="H4" s="15"/>
      <c r="I4" s="16"/>
      <c r="J4" s="53">
        <v>0</v>
      </c>
      <c r="K4" s="38">
        <v>33201.42</v>
      </c>
    </row>
    <row r="5" spans="2:11" ht="18.75" x14ac:dyDescent="0.3">
      <c r="B5" s="11">
        <v>44197</v>
      </c>
      <c r="C5" s="40" t="s">
        <v>34</v>
      </c>
      <c r="D5" s="13"/>
      <c r="E5" s="14"/>
      <c r="F5" s="14"/>
      <c r="G5" s="14"/>
      <c r="H5" s="15">
        <v>769</v>
      </c>
      <c r="I5" s="16"/>
      <c r="J5" s="20">
        <f>+J4+E5-G5</f>
        <v>0</v>
      </c>
      <c r="K5" s="20">
        <f>+K4+D5-H5</f>
        <v>32432.42</v>
      </c>
    </row>
    <row r="6" spans="2:11" ht="18.75" x14ac:dyDescent="0.3">
      <c r="B6" s="11">
        <v>44197</v>
      </c>
      <c r="C6" s="17" t="s">
        <v>35</v>
      </c>
      <c r="D6" s="34"/>
      <c r="E6" s="18"/>
      <c r="F6" s="18"/>
      <c r="G6" s="18"/>
      <c r="H6" s="18">
        <v>82</v>
      </c>
      <c r="I6" s="19"/>
      <c r="J6" s="20">
        <f t="shared" ref="J6:J43" si="0">+J5+E6-G6</f>
        <v>0</v>
      </c>
      <c r="K6" s="20">
        <f t="shared" ref="K6:K43" si="1">+K5+D6-H6</f>
        <v>32350.42</v>
      </c>
    </row>
    <row r="7" spans="2:11" ht="18.75" x14ac:dyDescent="0.3">
      <c r="B7" s="22">
        <v>44197</v>
      </c>
      <c r="C7" s="21" t="s">
        <v>36</v>
      </c>
      <c r="D7" s="34"/>
      <c r="E7" s="23"/>
      <c r="F7" s="18"/>
      <c r="G7" s="18"/>
      <c r="H7" s="18">
        <v>1011.21</v>
      </c>
      <c r="I7" s="19"/>
      <c r="J7" s="20">
        <f t="shared" si="0"/>
        <v>0</v>
      </c>
      <c r="K7" s="20">
        <f t="shared" si="1"/>
        <v>31339.21</v>
      </c>
    </row>
    <row r="8" spans="2:11" ht="18.75" x14ac:dyDescent="0.3">
      <c r="B8" s="22">
        <v>44197</v>
      </c>
      <c r="C8" s="41" t="s">
        <v>100</v>
      </c>
      <c r="D8" s="34"/>
      <c r="E8" s="18"/>
      <c r="F8" s="18"/>
      <c r="G8" s="18"/>
      <c r="H8" s="18">
        <v>300</v>
      </c>
      <c r="I8" s="19"/>
      <c r="J8" s="20">
        <f t="shared" si="0"/>
        <v>0</v>
      </c>
      <c r="K8" s="20">
        <f t="shared" si="1"/>
        <v>31039.21</v>
      </c>
    </row>
    <row r="9" spans="2:11" ht="18.75" x14ac:dyDescent="0.3">
      <c r="B9" s="22">
        <v>44197</v>
      </c>
      <c r="C9" s="21" t="s">
        <v>37</v>
      </c>
      <c r="D9" s="34"/>
      <c r="E9" s="18"/>
      <c r="F9" s="18"/>
      <c r="G9" s="18"/>
      <c r="H9" s="18">
        <v>50</v>
      </c>
      <c r="I9" s="19"/>
      <c r="J9" s="20">
        <f t="shared" si="0"/>
        <v>0</v>
      </c>
      <c r="K9" s="20">
        <f t="shared" si="1"/>
        <v>30989.21</v>
      </c>
    </row>
    <row r="10" spans="2:11" ht="18.75" x14ac:dyDescent="0.3">
      <c r="B10" s="22">
        <v>44197</v>
      </c>
      <c r="C10" s="17" t="s">
        <v>38</v>
      </c>
      <c r="D10" s="34"/>
      <c r="E10" s="18"/>
      <c r="F10" s="18"/>
      <c r="G10" s="18"/>
      <c r="H10" s="18">
        <v>315</v>
      </c>
      <c r="I10" s="19"/>
      <c r="J10" s="20">
        <f t="shared" si="0"/>
        <v>0</v>
      </c>
      <c r="K10" s="20">
        <f t="shared" si="1"/>
        <v>30674.21</v>
      </c>
    </row>
    <row r="11" spans="2:11" ht="18.75" x14ac:dyDescent="0.3">
      <c r="B11" s="22">
        <v>44199</v>
      </c>
      <c r="C11" s="24" t="s">
        <v>39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30474.21</v>
      </c>
    </row>
    <row r="12" spans="2:11" ht="18.75" x14ac:dyDescent="0.3">
      <c r="B12" s="22">
        <v>44199</v>
      </c>
      <c r="C12" s="21" t="s">
        <v>40</v>
      </c>
      <c r="D12" s="34"/>
      <c r="E12" s="18"/>
      <c r="F12" s="18"/>
      <c r="G12" s="18"/>
      <c r="H12" s="18">
        <v>200</v>
      </c>
      <c r="I12" s="19"/>
      <c r="J12" s="20">
        <f t="shared" si="0"/>
        <v>0</v>
      </c>
      <c r="K12" s="20">
        <f t="shared" si="1"/>
        <v>30274.21</v>
      </c>
    </row>
    <row r="13" spans="2:11" ht="18.75" x14ac:dyDescent="0.3">
      <c r="B13" s="22">
        <v>44199</v>
      </c>
      <c r="C13" s="21" t="s">
        <v>41</v>
      </c>
      <c r="D13" s="34"/>
      <c r="E13" s="18"/>
      <c r="F13" s="18"/>
      <c r="G13" s="18"/>
      <c r="H13" s="18">
        <v>240</v>
      </c>
      <c r="I13" s="19"/>
      <c r="J13" s="20">
        <f t="shared" si="0"/>
        <v>0</v>
      </c>
      <c r="K13" s="20">
        <f t="shared" si="1"/>
        <v>30034.21</v>
      </c>
    </row>
    <row r="14" spans="2:11" ht="18.75" x14ac:dyDescent="0.3">
      <c r="B14" s="22">
        <v>44199</v>
      </c>
      <c r="C14" s="21" t="s">
        <v>42</v>
      </c>
      <c r="D14" s="34"/>
      <c r="E14" s="18"/>
      <c r="F14" s="18"/>
      <c r="G14" s="18"/>
      <c r="H14" s="18">
        <v>100</v>
      </c>
      <c r="I14" s="19"/>
      <c r="J14" s="20">
        <f t="shared" si="0"/>
        <v>0</v>
      </c>
      <c r="K14" s="20">
        <f t="shared" si="1"/>
        <v>29934.21</v>
      </c>
    </row>
    <row r="15" spans="2:11" ht="18.75" x14ac:dyDescent="0.3">
      <c r="B15" s="22">
        <v>44199</v>
      </c>
      <c r="C15" s="41" t="s">
        <v>43</v>
      </c>
      <c r="D15" s="34">
        <v>62600</v>
      </c>
      <c r="E15" s="18"/>
      <c r="F15" s="18"/>
      <c r="G15" s="18"/>
      <c r="H15" s="18"/>
      <c r="I15" s="19"/>
      <c r="J15" s="20">
        <f t="shared" si="0"/>
        <v>0</v>
      </c>
      <c r="K15" s="20">
        <f t="shared" si="1"/>
        <v>92534.209999999992</v>
      </c>
    </row>
    <row r="16" spans="2:11" ht="18.75" x14ac:dyDescent="0.3">
      <c r="B16" s="22">
        <v>44200</v>
      </c>
      <c r="C16" s="41" t="s">
        <v>135</v>
      </c>
      <c r="D16" s="34"/>
      <c r="E16" s="23"/>
      <c r="F16" s="18"/>
      <c r="G16" s="18"/>
      <c r="H16" s="18">
        <v>40</v>
      </c>
      <c r="I16" s="19"/>
      <c r="J16" s="20">
        <f t="shared" si="0"/>
        <v>0</v>
      </c>
      <c r="K16" s="20">
        <f t="shared" si="1"/>
        <v>92494.209999999992</v>
      </c>
    </row>
    <row r="17" spans="2:11" ht="18.75" x14ac:dyDescent="0.3">
      <c r="B17" s="22">
        <v>44200</v>
      </c>
      <c r="C17" s="21" t="s">
        <v>44</v>
      </c>
      <c r="D17" s="34"/>
      <c r="E17" s="18"/>
      <c r="F17" s="18"/>
      <c r="G17" s="18"/>
      <c r="H17" s="18">
        <v>252</v>
      </c>
      <c r="I17" s="19"/>
      <c r="J17" s="20">
        <f t="shared" si="0"/>
        <v>0</v>
      </c>
      <c r="K17" s="20">
        <f t="shared" si="1"/>
        <v>92242.209999999992</v>
      </c>
    </row>
    <row r="18" spans="2:11" ht="18.75" x14ac:dyDescent="0.3">
      <c r="B18" s="22">
        <v>44200</v>
      </c>
      <c r="C18" s="21" t="s">
        <v>45</v>
      </c>
      <c r="D18" s="34"/>
      <c r="E18" s="18"/>
      <c r="F18" s="18"/>
      <c r="G18" s="18"/>
      <c r="H18" s="18">
        <v>82</v>
      </c>
      <c r="I18" s="19"/>
      <c r="J18" s="20">
        <f t="shared" si="0"/>
        <v>0</v>
      </c>
      <c r="K18" s="20">
        <f t="shared" si="1"/>
        <v>92160.209999999992</v>
      </c>
    </row>
    <row r="19" spans="2:11" ht="18.75" x14ac:dyDescent="0.3">
      <c r="B19" s="22">
        <v>44200</v>
      </c>
      <c r="C19" s="43" t="s">
        <v>64</v>
      </c>
      <c r="D19" s="34"/>
      <c r="E19" s="18"/>
      <c r="F19" s="18"/>
      <c r="G19" s="18"/>
      <c r="H19" s="18">
        <v>356</v>
      </c>
      <c r="I19" s="19"/>
      <c r="J19" s="20">
        <f t="shared" si="0"/>
        <v>0</v>
      </c>
      <c r="K19" s="20">
        <f t="shared" si="1"/>
        <v>91804.209999999992</v>
      </c>
    </row>
    <row r="20" spans="2:11" ht="18.75" x14ac:dyDescent="0.3">
      <c r="B20" s="22">
        <v>44200</v>
      </c>
      <c r="C20" s="21" t="s">
        <v>46</v>
      </c>
      <c r="D20" s="34"/>
      <c r="E20" s="18"/>
      <c r="F20" s="18"/>
      <c r="G20" s="18"/>
      <c r="H20" s="18">
        <v>513</v>
      </c>
      <c r="I20" s="19"/>
      <c r="J20" s="20">
        <f t="shared" si="0"/>
        <v>0</v>
      </c>
      <c r="K20" s="20">
        <f t="shared" si="1"/>
        <v>91291.209999999992</v>
      </c>
    </row>
    <row r="21" spans="2:11" ht="18.75" x14ac:dyDescent="0.3">
      <c r="B21" s="22">
        <v>44200</v>
      </c>
      <c r="C21" s="21" t="s">
        <v>47</v>
      </c>
      <c r="D21" s="34"/>
      <c r="E21" s="23"/>
      <c r="F21" s="18"/>
      <c r="G21" s="18"/>
      <c r="H21" s="18">
        <v>495.98</v>
      </c>
      <c r="I21" s="19"/>
      <c r="J21" s="20">
        <f t="shared" si="0"/>
        <v>0</v>
      </c>
      <c r="K21" s="20">
        <f t="shared" si="1"/>
        <v>90795.23</v>
      </c>
    </row>
    <row r="22" spans="2:11" ht="18.75" x14ac:dyDescent="0.3">
      <c r="B22" s="22">
        <v>44201</v>
      </c>
      <c r="C22" s="21" t="s">
        <v>48</v>
      </c>
      <c r="D22" s="34"/>
      <c r="E22" s="23"/>
      <c r="F22" s="18"/>
      <c r="G22" s="18"/>
      <c r="H22" s="18">
        <v>195</v>
      </c>
      <c r="I22" s="19"/>
      <c r="J22" s="20">
        <f t="shared" si="0"/>
        <v>0</v>
      </c>
      <c r="K22" s="20">
        <f t="shared" si="1"/>
        <v>90600.23</v>
      </c>
    </row>
    <row r="23" spans="2:11" ht="18.75" x14ac:dyDescent="0.3">
      <c r="B23" s="22">
        <v>44202</v>
      </c>
      <c r="C23" s="21" t="s">
        <v>49</v>
      </c>
      <c r="D23" s="34"/>
      <c r="E23" s="18"/>
      <c r="F23" s="18"/>
      <c r="G23" s="18"/>
      <c r="H23" s="18">
        <v>171.9</v>
      </c>
      <c r="I23" s="19"/>
      <c r="J23" s="20">
        <f t="shared" si="0"/>
        <v>0</v>
      </c>
      <c r="K23" s="20">
        <f t="shared" si="1"/>
        <v>90428.33</v>
      </c>
    </row>
    <row r="24" spans="2:11" ht="18.75" x14ac:dyDescent="0.3">
      <c r="B24" s="22">
        <v>44202</v>
      </c>
      <c r="C24" s="21" t="s">
        <v>50</v>
      </c>
      <c r="D24" s="34"/>
      <c r="E24" s="34"/>
      <c r="F24" s="18"/>
      <c r="G24" s="18"/>
      <c r="H24" s="18">
        <v>786</v>
      </c>
      <c r="I24" s="19"/>
      <c r="J24" s="20">
        <f t="shared" si="0"/>
        <v>0</v>
      </c>
      <c r="K24" s="20">
        <f t="shared" si="1"/>
        <v>89642.33</v>
      </c>
    </row>
    <row r="25" spans="2:11" ht="18.75" x14ac:dyDescent="0.3">
      <c r="B25" s="22">
        <v>44202</v>
      </c>
      <c r="C25" s="21" t="s">
        <v>51</v>
      </c>
      <c r="D25" s="34"/>
      <c r="E25" s="34"/>
      <c r="F25" s="18"/>
      <c r="G25" s="18"/>
      <c r="H25" s="18">
        <v>61.85</v>
      </c>
      <c r="I25" s="19"/>
      <c r="J25" s="20">
        <f t="shared" si="0"/>
        <v>0</v>
      </c>
      <c r="K25" s="20">
        <f t="shared" si="1"/>
        <v>89580.479999999996</v>
      </c>
    </row>
    <row r="26" spans="2:11" ht="18.75" x14ac:dyDescent="0.3">
      <c r="B26" s="22">
        <v>44202</v>
      </c>
      <c r="C26" s="21" t="s">
        <v>52</v>
      </c>
      <c r="D26" s="34"/>
      <c r="E26" s="18"/>
      <c r="F26" s="18"/>
      <c r="G26" s="18"/>
      <c r="H26" s="18">
        <v>175.8</v>
      </c>
      <c r="I26" s="19"/>
      <c r="J26" s="20">
        <f t="shared" si="0"/>
        <v>0</v>
      </c>
      <c r="K26" s="20">
        <f t="shared" si="1"/>
        <v>89404.68</v>
      </c>
    </row>
    <row r="27" spans="2:11" ht="18.75" x14ac:dyDescent="0.3">
      <c r="B27" s="22">
        <v>44202</v>
      </c>
      <c r="C27" s="21" t="s">
        <v>53</v>
      </c>
      <c r="D27" s="34"/>
      <c r="E27" s="18"/>
      <c r="F27" s="18"/>
      <c r="G27" s="18"/>
      <c r="H27" s="18">
        <v>109</v>
      </c>
      <c r="I27" s="19"/>
      <c r="J27" s="20">
        <f t="shared" si="0"/>
        <v>0</v>
      </c>
      <c r="K27" s="20">
        <f t="shared" si="1"/>
        <v>89295.679999999993</v>
      </c>
    </row>
    <row r="28" spans="2:11" ht="18.75" x14ac:dyDescent="0.3">
      <c r="B28" s="42">
        <v>44202</v>
      </c>
      <c r="C28" s="21" t="s">
        <v>54</v>
      </c>
      <c r="D28" s="34"/>
      <c r="E28" s="18"/>
      <c r="F28" s="18"/>
      <c r="G28" s="18"/>
      <c r="H28" s="18">
        <v>10</v>
      </c>
      <c r="I28" s="19"/>
      <c r="J28" s="20">
        <f t="shared" si="0"/>
        <v>0</v>
      </c>
      <c r="K28" s="20">
        <f t="shared" si="1"/>
        <v>89285.68</v>
      </c>
    </row>
    <row r="29" spans="2:11" ht="18.75" x14ac:dyDescent="0.3">
      <c r="B29" s="42">
        <v>44203</v>
      </c>
      <c r="C29" s="17" t="s">
        <v>55</v>
      </c>
      <c r="D29" s="34"/>
      <c r="E29" s="18"/>
      <c r="F29" s="18"/>
      <c r="G29" s="18"/>
      <c r="H29" s="18">
        <v>553.74</v>
      </c>
      <c r="I29" s="19"/>
      <c r="J29" s="20">
        <f t="shared" si="0"/>
        <v>0</v>
      </c>
      <c r="K29" s="20">
        <f t="shared" si="1"/>
        <v>88731.939999999988</v>
      </c>
    </row>
    <row r="30" spans="2:11" ht="18.75" x14ac:dyDescent="0.3">
      <c r="B30" s="42">
        <v>44203</v>
      </c>
      <c r="C30" s="33" t="s">
        <v>38</v>
      </c>
      <c r="D30" s="34"/>
      <c r="E30" s="18"/>
      <c r="F30" s="18"/>
      <c r="G30" s="18"/>
      <c r="H30" s="18">
        <v>190</v>
      </c>
      <c r="I30" s="19"/>
      <c r="J30" s="20">
        <f t="shared" si="0"/>
        <v>0</v>
      </c>
      <c r="K30" s="20">
        <f t="shared" si="1"/>
        <v>88541.939999999988</v>
      </c>
    </row>
    <row r="31" spans="2:11" ht="18.75" x14ac:dyDescent="0.3">
      <c r="B31" s="42">
        <v>44205</v>
      </c>
      <c r="C31" s="33" t="s">
        <v>56</v>
      </c>
      <c r="D31" s="34"/>
      <c r="E31" s="18"/>
      <c r="F31" s="18"/>
      <c r="G31" s="18"/>
      <c r="H31" s="18">
        <v>72.599999999999994</v>
      </c>
      <c r="I31" s="19"/>
      <c r="J31" s="20">
        <f t="shared" si="0"/>
        <v>0</v>
      </c>
      <c r="K31" s="20">
        <f t="shared" si="1"/>
        <v>88469.339999999982</v>
      </c>
    </row>
    <row r="32" spans="2:11" ht="18.75" x14ac:dyDescent="0.3">
      <c r="B32" s="42">
        <v>44205</v>
      </c>
      <c r="C32" s="33" t="s">
        <v>57</v>
      </c>
      <c r="D32" s="34"/>
      <c r="E32" s="18"/>
      <c r="F32" s="18"/>
      <c r="G32" s="18"/>
      <c r="H32" s="18">
        <v>315</v>
      </c>
      <c r="I32" s="19"/>
      <c r="J32" s="20">
        <f t="shared" si="0"/>
        <v>0</v>
      </c>
      <c r="K32" s="20">
        <f t="shared" si="1"/>
        <v>88154.339999999982</v>
      </c>
    </row>
    <row r="33" spans="2:11" ht="18.75" x14ac:dyDescent="0.3">
      <c r="B33" s="42">
        <v>44206</v>
      </c>
      <c r="C33" s="33" t="s">
        <v>58</v>
      </c>
      <c r="D33" s="34"/>
      <c r="E33" s="23"/>
      <c r="F33" s="18"/>
      <c r="G33" s="18"/>
      <c r="H33" s="18">
        <v>100</v>
      </c>
      <c r="I33" s="19"/>
      <c r="J33" s="20">
        <f t="shared" si="0"/>
        <v>0</v>
      </c>
      <c r="K33" s="20">
        <f t="shared" si="1"/>
        <v>88054.339999999982</v>
      </c>
    </row>
    <row r="34" spans="2:11" ht="18.75" x14ac:dyDescent="0.3">
      <c r="B34" s="42">
        <v>44206</v>
      </c>
      <c r="C34" s="21" t="s">
        <v>59</v>
      </c>
      <c r="D34" s="34"/>
      <c r="E34" s="18"/>
      <c r="F34" s="18"/>
      <c r="G34" s="18"/>
      <c r="H34" s="18">
        <v>200</v>
      </c>
      <c r="I34" s="19"/>
      <c r="J34" s="20">
        <f t="shared" si="0"/>
        <v>0</v>
      </c>
      <c r="K34" s="20">
        <f t="shared" si="1"/>
        <v>87854.339999999982</v>
      </c>
    </row>
    <row r="35" spans="2:11" ht="18.75" x14ac:dyDescent="0.3">
      <c r="B35" s="42">
        <v>44206</v>
      </c>
      <c r="C35" s="43" t="s">
        <v>44</v>
      </c>
      <c r="D35" s="34"/>
      <c r="E35" s="23"/>
      <c r="F35" s="18"/>
      <c r="G35" s="18"/>
      <c r="H35" s="18">
        <v>80</v>
      </c>
      <c r="I35" s="19"/>
      <c r="J35" s="20">
        <f t="shared" si="0"/>
        <v>0</v>
      </c>
      <c r="K35" s="20">
        <f t="shared" si="1"/>
        <v>87774.339999999982</v>
      </c>
    </row>
    <row r="36" spans="2:11" ht="18.75" x14ac:dyDescent="0.3">
      <c r="B36" s="42">
        <v>44207</v>
      </c>
      <c r="C36" s="33" t="s">
        <v>45</v>
      </c>
      <c r="D36" s="34"/>
      <c r="E36" s="18"/>
      <c r="F36" s="18"/>
      <c r="G36" s="18"/>
      <c r="H36" s="18">
        <v>120</v>
      </c>
      <c r="I36" s="19"/>
      <c r="J36" s="20">
        <f t="shared" si="0"/>
        <v>0</v>
      </c>
      <c r="K36" s="20">
        <f t="shared" si="1"/>
        <v>87654.339999999982</v>
      </c>
    </row>
    <row r="37" spans="2:11" ht="18.75" x14ac:dyDescent="0.3">
      <c r="B37" s="44">
        <v>44206</v>
      </c>
      <c r="C37" s="54" t="s">
        <v>60</v>
      </c>
      <c r="D37" s="34">
        <v>65000</v>
      </c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152654.33999999997</v>
      </c>
    </row>
    <row r="38" spans="2:11" ht="18.75" x14ac:dyDescent="0.3">
      <c r="B38" s="42">
        <v>44207</v>
      </c>
      <c r="C38" s="54" t="s">
        <v>45</v>
      </c>
      <c r="D38" s="34"/>
      <c r="E38" s="18"/>
      <c r="F38" s="18"/>
      <c r="G38" s="18"/>
      <c r="H38" s="18">
        <v>82</v>
      </c>
      <c r="I38" s="19"/>
      <c r="J38" s="20">
        <f t="shared" si="0"/>
        <v>0</v>
      </c>
      <c r="K38" s="20">
        <f t="shared" si="1"/>
        <v>152572.33999999997</v>
      </c>
    </row>
    <row r="39" spans="2:11" ht="18.75" x14ac:dyDescent="0.3">
      <c r="B39" s="42">
        <v>44207</v>
      </c>
      <c r="C39" s="54" t="s">
        <v>99</v>
      </c>
      <c r="D39" s="34"/>
      <c r="E39" s="18"/>
      <c r="F39" s="18"/>
      <c r="G39" s="18"/>
      <c r="H39" s="18">
        <v>300</v>
      </c>
      <c r="I39" s="19"/>
      <c r="J39" s="20">
        <f t="shared" si="0"/>
        <v>0</v>
      </c>
      <c r="K39" s="20">
        <f t="shared" si="1"/>
        <v>152272.33999999997</v>
      </c>
    </row>
    <row r="40" spans="2:11" ht="18.75" x14ac:dyDescent="0.3">
      <c r="B40" s="44">
        <v>44207</v>
      </c>
      <c r="C40" s="33" t="s">
        <v>61</v>
      </c>
      <c r="D40" s="34"/>
      <c r="E40" s="18"/>
      <c r="F40" s="18"/>
      <c r="G40" s="18"/>
      <c r="H40" s="18">
        <v>18</v>
      </c>
      <c r="I40" s="19"/>
      <c r="J40" s="20">
        <f t="shared" si="0"/>
        <v>0</v>
      </c>
      <c r="K40" s="20">
        <f t="shared" si="1"/>
        <v>152254.33999999997</v>
      </c>
    </row>
    <row r="41" spans="2:11" ht="18.75" x14ac:dyDescent="0.3">
      <c r="B41" s="42">
        <v>44207</v>
      </c>
      <c r="C41" s="33" t="s">
        <v>61</v>
      </c>
      <c r="D41" s="34"/>
      <c r="E41" s="18"/>
      <c r="F41" s="18"/>
      <c r="G41" s="18"/>
      <c r="H41" s="18">
        <v>31</v>
      </c>
      <c r="I41" s="19"/>
      <c r="J41" s="20">
        <f t="shared" si="0"/>
        <v>0</v>
      </c>
      <c r="K41" s="20">
        <f t="shared" si="1"/>
        <v>152223.33999999997</v>
      </c>
    </row>
    <row r="42" spans="2:11" ht="18.75" x14ac:dyDescent="0.3">
      <c r="B42" s="45">
        <v>44207</v>
      </c>
      <c r="C42" s="32" t="s">
        <v>62</v>
      </c>
      <c r="D42" s="34"/>
      <c r="E42" s="18"/>
      <c r="F42" s="18"/>
      <c r="G42" s="18"/>
      <c r="H42" s="18">
        <v>112.98</v>
      </c>
      <c r="I42" s="19"/>
      <c r="J42" s="20">
        <f t="shared" si="0"/>
        <v>0</v>
      </c>
      <c r="K42" s="20">
        <f t="shared" si="1"/>
        <v>152110.35999999996</v>
      </c>
    </row>
    <row r="43" spans="2:11" ht="18.75" x14ac:dyDescent="0.3">
      <c r="B43" s="44">
        <v>44207</v>
      </c>
      <c r="C43" s="33" t="s">
        <v>63</v>
      </c>
      <c r="D43" s="34"/>
      <c r="E43" s="18"/>
      <c r="F43" s="18"/>
      <c r="G43" s="18"/>
      <c r="H43" s="18">
        <v>250</v>
      </c>
      <c r="I43" s="19"/>
      <c r="J43" s="20">
        <f t="shared" si="0"/>
        <v>0</v>
      </c>
      <c r="K43" s="20">
        <f t="shared" si="1"/>
        <v>151860.35999999996</v>
      </c>
    </row>
    <row r="44" spans="2:11" ht="18.75" x14ac:dyDescent="0.3">
      <c r="B44" s="42">
        <v>44207</v>
      </c>
      <c r="C44" s="33" t="s">
        <v>44</v>
      </c>
      <c r="D44" s="34"/>
      <c r="E44" s="18"/>
      <c r="F44" s="18"/>
      <c r="G44" s="18"/>
      <c r="H44" s="18">
        <v>80</v>
      </c>
      <c r="I44" s="19"/>
      <c r="J44" s="20">
        <f>+J42+E44-G44</f>
        <v>0</v>
      </c>
      <c r="K44" s="20">
        <f>+K43+D44-H44</f>
        <v>151780.35999999996</v>
      </c>
    </row>
    <row r="45" spans="2:11" ht="18.75" x14ac:dyDescent="0.3">
      <c r="B45" s="44">
        <v>44208</v>
      </c>
      <c r="C45" s="33" t="s">
        <v>65</v>
      </c>
      <c r="D45" s="34"/>
      <c r="E45" s="18"/>
      <c r="F45" s="18"/>
      <c r="G45" s="18"/>
      <c r="H45" s="18">
        <v>2500</v>
      </c>
      <c r="I45" s="19"/>
      <c r="J45" s="20">
        <f t="shared" ref="J45:J46" si="2">+J43+E45-G45</f>
        <v>0</v>
      </c>
      <c r="K45" s="20">
        <f t="shared" ref="K45:K46" si="3">+K44+D45-H45</f>
        <v>149280.35999999996</v>
      </c>
    </row>
    <row r="46" spans="2:11" ht="19.5" thickBot="1" x14ac:dyDescent="0.35">
      <c r="B46" s="42">
        <v>44208</v>
      </c>
      <c r="C46" s="33" t="s">
        <v>66</v>
      </c>
      <c r="D46" s="34"/>
      <c r="E46" s="18"/>
      <c r="F46" s="18"/>
      <c r="G46" s="18"/>
      <c r="H46" s="18">
        <v>138</v>
      </c>
      <c r="I46" s="19"/>
      <c r="J46" s="20">
        <f t="shared" si="2"/>
        <v>0</v>
      </c>
      <c r="K46" s="20">
        <f t="shared" si="3"/>
        <v>149142.35999999996</v>
      </c>
    </row>
    <row r="47" spans="2:11" ht="19.5" thickBot="1" x14ac:dyDescent="0.35">
      <c r="B47" s="25"/>
      <c r="C47" s="26" t="s">
        <v>0</v>
      </c>
      <c r="D47" s="27">
        <f>SUM(D4:D46)</f>
        <v>127600</v>
      </c>
      <c r="E47" s="27">
        <f>SUM(E4:E46)</f>
        <v>0</v>
      </c>
      <c r="F47" s="29">
        <f>SUM(D47:E47)</f>
        <v>127600</v>
      </c>
      <c r="G47" s="30">
        <f>SUM(G4:G46)</f>
        <v>0</v>
      </c>
      <c r="H47" s="27">
        <f>SUM(H4:H46)</f>
        <v>11659.060000000001</v>
      </c>
      <c r="I47" s="29">
        <f>SUM(G47:H47)</f>
        <v>11659.060000000001</v>
      </c>
      <c r="J47" s="31"/>
      <c r="K47" s="31"/>
    </row>
    <row r="48" spans="2:11" ht="18.75" x14ac:dyDescent="0.3">
      <c r="B48" s="7" t="s">
        <v>1</v>
      </c>
      <c r="C48" s="7" t="s">
        <v>2</v>
      </c>
      <c r="D48" s="7" t="s">
        <v>3</v>
      </c>
      <c r="E48" s="7" t="s">
        <v>3</v>
      </c>
      <c r="F48" s="7" t="s">
        <v>8</v>
      </c>
      <c r="G48" s="7" t="s">
        <v>9</v>
      </c>
      <c r="H48" s="8" t="s">
        <v>9</v>
      </c>
      <c r="I48" s="8" t="s">
        <v>8</v>
      </c>
      <c r="J48" s="7" t="s">
        <v>7</v>
      </c>
      <c r="K48" s="8" t="s">
        <v>6</v>
      </c>
    </row>
    <row r="49" spans="2:12" ht="19.5" thickBot="1" x14ac:dyDescent="0.35">
      <c r="B49" s="9"/>
      <c r="C49" s="9"/>
      <c r="D49" s="9" t="s">
        <v>5</v>
      </c>
      <c r="E49" s="9" t="s">
        <v>7</v>
      </c>
      <c r="F49" s="9" t="s">
        <v>3</v>
      </c>
      <c r="G49" s="9" t="s">
        <v>7</v>
      </c>
      <c r="H49" s="10" t="s">
        <v>5</v>
      </c>
      <c r="I49" s="10" t="s">
        <v>4</v>
      </c>
      <c r="J49" s="9"/>
      <c r="K49" s="10"/>
    </row>
    <row r="50" spans="2:12" ht="19.5" thickBot="1" x14ac:dyDescent="0.35">
      <c r="B50" s="25"/>
      <c r="C50" s="26"/>
      <c r="D50" s="27">
        <v>127600</v>
      </c>
      <c r="E50" s="28">
        <v>0</v>
      </c>
      <c r="F50" s="29">
        <f>SUM(D50:E50)</f>
        <v>127600</v>
      </c>
      <c r="G50" s="30">
        <v>0</v>
      </c>
      <c r="H50" s="27">
        <v>11659.06</v>
      </c>
      <c r="I50" s="29">
        <f>SUM(G50:H50)</f>
        <v>11659.06</v>
      </c>
      <c r="J50" s="31">
        <v>0</v>
      </c>
      <c r="K50" s="53">
        <v>149142.35999999999</v>
      </c>
    </row>
    <row r="51" spans="2:12" ht="18.75" x14ac:dyDescent="0.3">
      <c r="B51" s="42">
        <v>44208</v>
      </c>
      <c r="C51" s="33" t="s">
        <v>67</v>
      </c>
      <c r="D51" s="34"/>
      <c r="E51" s="18"/>
      <c r="F51" s="18"/>
      <c r="G51" s="18"/>
      <c r="H51" s="18">
        <v>466.35</v>
      </c>
      <c r="I51" s="19"/>
      <c r="J51" s="20">
        <f>+J50+E51-G51</f>
        <v>0</v>
      </c>
      <c r="K51" s="20">
        <f>+K50+D51-H51</f>
        <v>148676.00999999998</v>
      </c>
    </row>
    <row r="52" spans="2:12" ht="18.75" x14ac:dyDescent="0.3">
      <c r="B52" s="42">
        <v>44209</v>
      </c>
      <c r="C52" s="33" t="s">
        <v>68</v>
      </c>
      <c r="D52" s="34"/>
      <c r="E52" s="18"/>
      <c r="F52" s="18"/>
      <c r="G52" s="18"/>
      <c r="H52" s="18">
        <v>118.9</v>
      </c>
      <c r="I52" s="19"/>
      <c r="J52" s="20">
        <f t="shared" ref="J52:J87" si="4">+J51+E52-G52</f>
        <v>0</v>
      </c>
      <c r="K52" s="20">
        <f t="shared" ref="K52:K87" si="5">+K51+D52-H52</f>
        <v>148557.10999999999</v>
      </c>
    </row>
    <row r="53" spans="2:12" ht="18.75" x14ac:dyDescent="0.3">
      <c r="B53" s="42">
        <v>44209</v>
      </c>
      <c r="C53" s="17" t="s">
        <v>69</v>
      </c>
      <c r="D53" s="34"/>
      <c r="E53" s="18"/>
      <c r="F53" s="18"/>
      <c r="G53" s="18"/>
      <c r="H53" s="18">
        <v>450</v>
      </c>
      <c r="I53" s="19"/>
      <c r="J53" s="20">
        <f t="shared" si="4"/>
        <v>0</v>
      </c>
      <c r="K53" s="20">
        <f t="shared" si="5"/>
        <v>148107.10999999999</v>
      </c>
    </row>
    <row r="54" spans="2:12" ht="18.75" x14ac:dyDescent="0.3">
      <c r="B54" s="42">
        <v>44210</v>
      </c>
      <c r="C54" s="17" t="s">
        <v>70</v>
      </c>
      <c r="D54" s="34"/>
      <c r="E54" s="18"/>
      <c r="F54" s="18"/>
      <c r="G54" s="18"/>
      <c r="H54" s="18">
        <v>300</v>
      </c>
      <c r="I54" s="19"/>
      <c r="J54" s="20">
        <f t="shared" si="4"/>
        <v>0</v>
      </c>
      <c r="K54" s="20">
        <f t="shared" si="5"/>
        <v>147807.10999999999</v>
      </c>
    </row>
    <row r="55" spans="2:12" ht="18.75" x14ac:dyDescent="0.3">
      <c r="B55" s="42">
        <v>44210</v>
      </c>
      <c r="C55" s="33" t="s">
        <v>71</v>
      </c>
      <c r="D55" s="34"/>
      <c r="E55" s="18"/>
      <c r="F55" s="18"/>
      <c r="G55" s="18"/>
      <c r="H55" s="18">
        <v>49</v>
      </c>
      <c r="I55" s="19"/>
      <c r="J55" s="20">
        <f t="shared" si="4"/>
        <v>0</v>
      </c>
      <c r="K55" s="20">
        <f t="shared" si="5"/>
        <v>147758.10999999999</v>
      </c>
    </row>
    <row r="56" spans="2:12" ht="18.75" x14ac:dyDescent="0.3">
      <c r="B56" s="47">
        <v>44210</v>
      </c>
      <c r="C56" s="33" t="s">
        <v>72</v>
      </c>
      <c r="D56" s="34"/>
      <c r="E56" s="34"/>
      <c r="F56" s="34"/>
      <c r="G56" s="34"/>
      <c r="H56" s="18">
        <v>9728.51</v>
      </c>
      <c r="I56" s="19"/>
      <c r="J56" s="20">
        <f t="shared" si="4"/>
        <v>0</v>
      </c>
      <c r="K56" s="20">
        <f t="shared" si="5"/>
        <v>138029.59999999998</v>
      </c>
    </row>
    <row r="57" spans="2:12" ht="18.75" x14ac:dyDescent="0.3">
      <c r="B57" s="44">
        <v>44211</v>
      </c>
      <c r="C57" s="17" t="s">
        <v>73</v>
      </c>
      <c r="D57" s="34"/>
      <c r="E57" s="18"/>
      <c r="F57" s="34"/>
      <c r="G57" s="34"/>
      <c r="H57" s="18">
        <v>50</v>
      </c>
      <c r="I57" s="19"/>
      <c r="J57" s="20">
        <f t="shared" si="4"/>
        <v>0</v>
      </c>
      <c r="K57" s="20">
        <f t="shared" si="5"/>
        <v>137979.59999999998</v>
      </c>
    </row>
    <row r="58" spans="2:12" ht="18.75" x14ac:dyDescent="0.3">
      <c r="B58" s="22">
        <v>44211</v>
      </c>
      <c r="C58" s="21" t="s">
        <v>74</v>
      </c>
      <c r="D58" s="18"/>
      <c r="E58" s="18"/>
      <c r="F58" s="18"/>
      <c r="G58" s="18"/>
      <c r="H58" s="18">
        <v>100</v>
      </c>
      <c r="I58" s="19"/>
      <c r="J58" s="20">
        <f t="shared" si="4"/>
        <v>0</v>
      </c>
      <c r="K58" s="20">
        <f t="shared" si="5"/>
        <v>137879.59999999998</v>
      </c>
    </row>
    <row r="59" spans="2:12" ht="18.75" x14ac:dyDescent="0.3">
      <c r="B59" s="22">
        <v>44211</v>
      </c>
      <c r="C59" s="21" t="s">
        <v>75</v>
      </c>
      <c r="D59" s="18"/>
      <c r="E59" s="18"/>
      <c r="F59" s="18"/>
      <c r="G59" s="18"/>
      <c r="H59" s="18">
        <v>236</v>
      </c>
      <c r="I59" s="19"/>
      <c r="J59" s="20">
        <f t="shared" si="4"/>
        <v>0</v>
      </c>
      <c r="K59" s="20">
        <f t="shared" si="5"/>
        <v>137643.59999999998</v>
      </c>
      <c r="L59" s="1"/>
    </row>
    <row r="60" spans="2:12" ht="18.75" x14ac:dyDescent="0.3">
      <c r="B60" s="42">
        <v>44211</v>
      </c>
      <c r="C60" s="43" t="s">
        <v>76</v>
      </c>
      <c r="D60" s="18"/>
      <c r="E60" s="18"/>
      <c r="F60" s="18"/>
      <c r="G60" s="18"/>
      <c r="H60" s="18">
        <v>250</v>
      </c>
      <c r="I60" s="19"/>
      <c r="J60" s="20">
        <f t="shared" si="4"/>
        <v>0</v>
      </c>
      <c r="K60" s="20">
        <f t="shared" si="5"/>
        <v>137393.59999999998</v>
      </c>
    </row>
    <row r="61" spans="2:12" ht="18.75" x14ac:dyDescent="0.3">
      <c r="B61" s="22">
        <v>44211</v>
      </c>
      <c r="C61" s="21" t="s">
        <v>77</v>
      </c>
      <c r="D61" s="18"/>
      <c r="E61" s="18"/>
      <c r="F61" s="18"/>
      <c r="G61" s="18"/>
      <c r="H61" s="18">
        <v>300</v>
      </c>
      <c r="I61" s="19"/>
      <c r="J61" s="20">
        <f t="shared" si="4"/>
        <v>0</v>
      </c>
      <c r="K61" s="20">
        <f t="shared" si="5"/>
        <v>137093.59999999998</v>
      </c>
    </row>
    <row r="62" spans="2:12" ht="18.75" x14ac:dyDescent="0.3">
      <c r="B62" s="22">
        <v>44211</v>
      </c>
      <c r="C62" s="21" t="s">
        <v>78</v>
      </c>
      <c r="D62" s="18"/>
      <c r="E62" s="18"/>
      <c r="F62" s="18"/>
      <c r="G62" s="18"/>
      <c r="H62" s="23">
        <v>700</v>
      </c>
      <c r="I62" s="19"/>
      <c r="J62" s="20">
        <f t="shared" si="4"/>
        <v>0</v>
      </c>
      <c r="K62" s="20">
        <f t="shared" si="5"/>
        <v>136393.59999999998</v>
      </c>
    </row>
    <row r="63" spans="2:12" ht="18.75" x14ac:dyDescent="0.3">
      <c r="B63" s="42">
        <v>44211</v>
      </c>
      <c r="C63" s="43" t="s">
        <v>85</v>
      </c>
      <c r="D63" s="18"/>
      <c r="E63" s="18"/>
      <c r="F63" s="18"/>
      <c r="G63" s="18"/>
      <c r="H63" s="18">
        <v>192</v>
      </c>
      <c r="I63" s="19"/>
      <c r="J63" s="20">
        <f t="shared" si="4"/>
        <v>0</v>
      </c>
      <c r="K63" s="20">
        <f t="shared" si="5"/>
        <v>136201.59999999998</v>
      </c>
    </row>
    <row r="64" spans="2:12" ht="18.75" x14ac:dyDescent="0.3">
      <c r="B64" s="42">
        <v>44211</v>
      </c>
      <c r="C64" s="21" t="s">
        <v>69</v>
      </c>
      <c r="D64" s="18"/>
      <c r="E64" s="18"/>
      <c r="F64" s="18"/>
      <c r="G64" s="18"/>
      <c r="H64" s="18">
        <v>450</v>
      </c>
      <c r="I64" s="19"/>
      <c r="J64" s="20">
        <f t="shared" si="4"/>
        <v>0</v>
      </c>
      <c r="K64" s="20">
        <f t="shared" si="5"/>
        <v>135751.59999999998</v>
      </c>
    </row>
    <row r="65" spans="2:11" ht="18.75" x14ac:dyDescent="0.3">
      <c r="B65" s="42">
        <v>44211</v>
      </c>
      <c r="C65" s="54" t="s">
        <v>86</v>
      </c>
      <c r="D65" s="18"/>
      <c r="E65" s="18"/>
      <c r="F65" s="18"/>
      <c r="G65" s="18"/>
      <c r="H65" s="23">
        <v>2500</v>
      </c>
      <c r="I65" s="19"/>
      <c r="J65" s="20">
        <f t="shared" si="4"/>
        <v>0</v>
      </c>
      <c r="K65" s="20">
        <f t="shared" si="5"/>
        <v>133251.59999999998</v>
      </c>
    </row>
    <row r="66" spans="2:11" ht="18.75" x14ac:dyDescent="0.3">
      <c r="B66" s="42">
        <v>44211</v>
      </c>
      <c r="C66" s="43" t="s">
        <v>79</v>
      </c>
      <c r="D66" s="18"/>
      <c r="E66" s="18"/>
      <c r="F66" s="18"/>
      <c r="G66" s="18"/>
      <c r="H66" s="18">
        <v>3000</v>
      </c>
      <c r="I66" s="19"/>
      <c r="J66" s="20">
        <f t="shared" si="4"/>
        <v>0</v>
      </c>
      <c r="K66" s="20">
        <f t="shared" si="5"/>
        <v>130251.59999999998</v>
      </c>
    </row>
    <row r="67" spans="2:11" ht="18.75" x14ac:dyDescent="0.3">
      <c r="B67" s="42">
        <v>44211</v>
      </c>
      <c r="C67" s="21" t="s">
        <v>176</v>
      </c>
      <c r="D67" s="18"/>
      <c r="E67" s="18"/>
      <c r="F67" s="18"/>
      <c r="G67" s="18"/>
      <c r="H67" s="18">
        <v>3400</v>
      </c>
      <c r="I67" s="19"/>
      <c r="J67" s="20">
        <f t="shared" si="4"/>
        <v>0</v>
      </c>
      <c r="K67" s="20">
        <f t="shared" si="5"/>
        <v>126851.59999999998</v>
      </c>
    </row>
    <row r="68" spans="2:11" ht="18.75" x14ac:dyDescent="0.3">
      <c r="B68" s="42">
        <v>44211</v>
      </c>
      <c r="C68" s="54" t="s">
        <v>81</v>
      </c>
      <c r="D68" s="18"/>
      <c r="E68" s="18"/>
      <c r="F68" s="18"/>
      <c r="G68" s="18"/>
      <c r="H68" s="23">
        <v>5000</v>
      </c>
      <c r="I68" s="19"/>
      <c r="J68" s="20">
        <f t="shared" si="4"/>
        <v>0</v>
      </c>
      <c r="K68" s="20">
        <f t="shared" si="5"/>
        <v>121851.59999999998</v>
      </c>
    </row>
    <row r="69" spans="2:11" ht="18.75" x14ac:dyDescent="0.3">
      <c r="B69" s="42">
        <v>44211</v>
      </c>
      <c r="C69" s="43" t="s">
        <v>448</v>
      </c>
      <c r="D69" s="18"/>
      <c r="E69" s="18"/>
      <c r="F69" s="18"/>
      <c r="G69" s="18"/>
      <c r="H69" s="23">
        <v>3000</v>
      </c>
      <c r="I69" s="19"/>
      <c r="J69" s="20">
        <f t="shared" si="4"/>
        <v>0</v>
      </c>
      <c r="K69" s="20">
        <f t="shared" si="5"/>
        <v>118851.59999999998</v>
      </c>
    </row>
    <row r="70" spans="2:11" ht="18.75" x14ac:dyDescent="0.3">
      <c r="B70" s="42">
        <v>44211</v>
      </c>
      <c r="C70" s="33" t="s">
        <v>450</v>
      </c>
      <c r="D70" s="18"/>
      <c r="E70" s="18"/>
      <c r="F70" s="18"/>
      <c r="G70" s="18"/>
      <c r="H70" s="18">
        <v>6000</v>
      </c>
      <c r="I70" s="19"/>
      <c r="J70" s="20">
        <f t="shared" si="4"/>
        <v>0</v>
      </c>
      <c r="K70" s="20">
        <f t="shared" si="5"/>
        <v>112851.59999999998</v>
      </c>
    </row>
    <row r="71" spans="2:11" ht="18.75" x14ac:dyDescent="0.3">
      <c r="B71" s="42">
        <v>44211</v>
      </c>
      <c r="C71" s="43" t="s">
        <v>83</v>
      </c>
      <c r="D71" s="18"/>
      <c r="E71" s="18"/>
      <c r="F71" s="18"/>
      <c r="G71" s="18"/>
      <c r="H71" s="18">
        <v>29250</v>
      </c>
      <c r="I71" s="19"/>
      <c r="J71" s="20">
        <f t="shared" si="4"/>
        <v>0</v>
      </c>
      <c r="K71" s="20">
        <f t="shared" si="5"/>
        <v>83601.599999999977</v>
      </c>
    </row>
    <row r="72" spans="2:11" ht="18.75" x14ac:dyDescent="0.3">
      <c r="B72" s="42">
        <v>44211</v>
      </c>
      <c r="C72" s="43" t="s">
        <v>84</v>
      </c>
      <c r="D72" s="18"/>
      <c r="E72" s="18"/>
      <c r="F72" s="18"/>
      <c r="G72" s="18"/>
      <c r="H72" s="18">
        <v>4750</v>
      </c>
      <c r="I72" s="19"/>
      <c r="J72" s="20">
        <f t="shared" si="4"/>
        <v>0</v>
      </c>
      <c r="K72" s="20">
        <f t="shared" si="5"/>
        <v>78851.599999999977</v>
      </c>
    </row>
    <row r="73" spans="2:11" ht="18.75" x14ac:dyDescent="0.3">
      <c r="B73" s="47">
        <v>44212</v>
      </c>
      <c r="C73" s="33" t="s">
        <v>87</v>
      </c>
      <c r="D73" s="34"/>
      <c r="E73" s="34"/>
      <c r="F73" s="34"/>
      <c r="G73" s="34"/>
      <c r="H73" s="18">
        <v>250</v>
      </c>
      <c r="I73" s="19"/>
      <c r="J73" s="20">
        <f t="shared" si="4"/>
        <v>0</v>
      </c>
      <c r="K73" s="20">
        <f t="shared" si="5"/>
        <v>78601.599999999977</v>
      </c>
    </row>
    <row r="74" spans="2:11" ht="18.75" x14ac:dyDescent="0.3">
      <c r="B74" s="47">
        <v>44213</v>
      </c>
      <c r="C74" s="33" t="s">
        <v>94</v>
      </c>
      <c r="D74" s="34"/>
      <c r="E74" s="34"/>
      <c r="F74" s="34"/>
      <c r="G74" s="34"/>
      <c r="H74" s="18">
        <v>100</v>
      </c>
      <c r="I74" s="19"/>
      <c r="J74" s="20">
        <f t="shared" si="4"/>
        <v>0</v>
      </c>
      <c r="K74" s="20">
        <f t="shared" si="5"/>
        <v>78501.599999999977</v>
      </c>
    </row>
    <row r="75" spans="2:11" ht="18.75" x14ac:dyDescent="0.3">
      <c r="B75" s="42">
        <v>44213</v>
      </c>
      <c r="C75" s="43" t="s">
        <v>95</v>
      </c>
      <c r="D75" s="18"/>
      <c r="E75" s="18"/>
      <c r="F75" s="18"/>
      <c r="G75" s="18"/>
      <c r="H75" s="18">
        <v>200</v>
      </c>
      <c r="I75" s="19"/>
      <c r="J75" s="20">
        <f t="shared" si="4"/>
        <v>0</v>
      </c>
      <c r="K75" s="20">
        <f t="shared" si="5"/>
        <v>78301.599999999977</v>
      </c>
    </row>
    <row r="76" spans="2:11" ht="18.75" x14ac:dyDescent="0.3">
      <c r="B76" s="42">
        <v>44213</v>
      </c>
      <c r="C76" s="43" t="s">
        <v>96</v>
      </c>
      <c r="D76" s="18"/>
      <c r="E76" s="18"/>
      <c r="F76" s="18"/>
      <c r="G76" s="18"/>
      <c r="H76" s="18">
        <v>150</v>
      </c>
      <c r="I76" s="19"/>
      <c r="J76" s="20">
        <f t="shared" si="4"/>
        <v>0</v>
      </c>
      <c r="K76" s="20">
        <f t="shared" si="5"/>
        <v>78151.599999999977</v>
      </c>
    </row>
    <row r="77" spans="2:11" ht="18.75" x14ac:dyDescent="0.3">
      <c r="B77" s="42">
        <v>44213</v>
      </c>
      <c r="C77" s="43" t="s">
        <v>97</v>
      </c>
      <c r="D77" s="18"/>
      <c r="E77" s="18"/>
      <c r="F77" s="18"/>
      <c r="G77" s="18"/>
      <c r="H77" s="18">
        <v>300</v>
      </c>
      <c r="I77" s="19"/>
      <c r="J77" s="20">
        <f t="shared" si="4"/>
        <v>0</v>
      </c>
      <c r="K77" s="20">
        <f t="shared" si="5"/>
        <v>77851.599999999977</v>
      </c>
    </row>
    <row r="78" spans="2:11" ht="18.75" x14ac:dyDescent="0.3">
      <c r="B78" s="47">
        <v>44213</v>
      </c>
      <c r="C78" s="54" t="s">
        <v>139</v>
      </c>
      <c r="D78" s="34"/>
      <c r="E78" s="18"/>
      <c r="F78" s="18"/>
      <c r="G78" s="18"/>
      <c r="H78" s="18">
        <v>1600</v>
      </c>
      <c r="I78" s="19"/>
      <c r="J78" s="20">
        <f t="shared" si="4"/>
        <v>0</v>
      </c>
      <c r="K78" s="20">
        <f t="shared" si="5"/>
        <v>76251.599999999977</v>
      </c>
    </row>
    <row r="79" spans="2:11" ht="18.75" x14ac:dyDescent="0.3">
      <c r="B79" s="47">
        <v>44213</v>
      </c>
      <c r="C79" s="33" t="s">
        <v>90</v>
      </c>
      <c r="D79" s="34">
        <v>68300</v>
      </c>
      <c r="E79" s="18"/>
      <c r="F79" s="18"/>
      <c r="G79" s="18"/>
      <c r="H79" s="18"/>
      <c r="I79" s="19"/>
      <c r="J79" s="20">
        <f t="shared" si="4"/>
        <v>0</v>
      </c>
      <c r="K79" s="20">
        <f t="shared" si="5"/>
        <v>144551.59999999998</v>
      </c>
    </row>
    <row r="80" spans="2:11" ht="18.75" x14ac:dyDescent="0.3">
      <c r="B80" s="48">
        <v>44214</v>
      </c>
      <c r="C80" s="17" t="s">
        <v>98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144251.59999999998</v>
      </c>
    </row>
    <row r="81" spans="2:12" ht="18.75" x14ac:dyDescent="0.3">
      <c r="B81" s="48">
        <v>44214</v>
      </c>
      <c r="C81" s="17" t="s">
        <v>101</v>
      </c>
      <c r="D81" s="34"/>
      <c r="E81" s="18"/>
      <c r="F81" s="18"/>
      <c r="G81" s="18"/>
      <c r="H81" s="18">
        <v>40</v>
      </c>
      <c r="I81" s="19"/>
      <c r="J81" s="20">
        <f t="shared" si="4"/>
        <v>0</v>
      </c>
      <c r="K81" s="20">
        <f t="shared" si="5"/>
        <v>144211.59999999998</v>
      </c>
    </row>
    <row r="82" spans="2:12" ht="18.75" x14ac:dyDescent="0.3">
      <c r="B82" s="48">
        <v>44214</v>
      </c>
      <c r="C82" s="17" t="s">
        <v>102</v>
      </c>
      <c r="D82" s="34"/>
      <c r="E82" s="18"/>
      <c r="F82" s="18"/>
      <c r="G82" s="18"/>
      <c r="H82" s="18">
        <v>43</v>
      </c>
      <c r="I82" s="19"/>
      <c r="J82" s="20">
        <f t="shared" si="4"/>
        <v>0</v>
      </c>
      <c r="K82" s="20">
        <f t="shared" si="5"/>
        <v>144168.59999999998</v>
      </c>
    </row>
    <row r="83" spans="2:12" ht="18.75" x14ac:dyDescent="0.3">
      <c r="B83" s="48">
        <v>44214</v>
      </c>
      <c r="C83" s="17" t="s">
        <v>103</v>
      </c>
      <c r="D83" s="34"/>
      <c r="E83" s="18"/>
      <c r="F83" s="18"/>
      <c r="G83" s="18"/>
      <c r="H83" s="18">
        <v>150</v>
      </c>
      <c r="I83" s="19"/>
      <c r="J83" s="20">
        <f t="shared" si="4"/>
        <v>0</v>
      </c>
      <c r="K83" s="20">
        <f t="shared" si="5"/>
        <v>144018.59999999998</v>
      </c>
    </row>
    <row r="84" spans="2:12" ht="18.75" x14ac:dyDescent="0.3">
      <c r="B84" s="48">
        <v>44214</v>
      </c>
      <c r="C84" s="24" t="s">
        <v>45</v>
      </c>
      <c r="D84" s="34"/>
      <c r="E84" s="18"/>
      <c r="F84" s="18"/>
      <c r="G84" s="18"/>
      <c r="H84" s="18">
        <v>82</v>
      </c>
      <c r="I84" s="19"/>
      <c r="J84" s="20">
        <f t="shared" si="4"/>
        <v>0</v>
      </c>
      <c r="K84" s="20">
        <f t="shared" si="5"/>
        <v>143936.59999999998</v>
      </c>
    </row>
    <row r="85" spans="2:12" ht="18.75" x14ac:dyDescent="0.3">
      <c r="B85" s="49">
        <v>44214</v>
      </c>
      <c r="C85" s="17" t="s">
        <v>104</v>
      </c>
      <c r="D85" s="50"/>
      <c r="E85" s="18"/>
      <c r="F85" s="18"/>
      <c r="G85" s="18"/>
      <c r="H85" s="18">
        <v>58</v>
      </c>
      <c r="I85" s="19"/>
      <c r="J85" s="20">
        <f t="shared" si="4"/>
        <v>0</v>
      </c>
      <c r="K85" s="20">
        <f t="shared" si="5"/>
        <v>143878.59999999998</v>
      </c>
    </row>
    <row r="86" spans="2:12" ht="18.75" x14ac:dyDescent="0.3">
      <c r="B86" s="49">
        <v>44214</v>
      </c>
      <c r="C86" s="21" t="s">
        <v>136</v>
      </c>
      <c r="D86" s="34"/>
      <c r="E86" s="18"/>
      <c r="F86" s="18"/>
      <c r="G86" s="18"/>
      <c r="H86" s="18">
        <v>100</v>
      </c>
      <c r="I86" s="19"/>
      <c r="J86" s="20">
        <f t="shared" si="4"/>
        <v>0</v>
      </c>
      <c r="K86" s="20">
        <f t="shared" si="5"/>
        <v>143778.59999999998</v>
      </c>
    </row>
    <row r="87" spans="2:12" ht="18.75" x14ac:dyDescent="0.3">
      <c r="B87" s="49">
        <v>44214</v>
      </c>
      <c r="C87" s="21" t="s">
        <v>105</v>
      </c>
      <c r="D87" s="34"/>
      <c r="E87" s="18"/>
      <c r="F87" s="18"/>
      <c r="G87" s="18"/>
      <c r="H87" s="18">
        <v>5700</v>
      </c>
      <c r="I87" s="19"/>
      <c r="J87" s="20">
        <f t="shared" si="4"/>
        <v>0</v>
      </c>
      <c r="K87" s="20">
        <f t="shared" si="5"/>
        <v>138078.59999999998</v>
      </c>
      <c r="L87" s="1"/>
    </row>
    <row r="88" spans="2:12" ht="18.75" x14ac:dyDescent="0.3">
      <c r="B88" s="49">
        <v>44214</v>
      </c>
      <c r="C88" s="21" t="s">
        <v>126</v>
      </c>
      <c r="D88" s="34"/>
      <c r="E88" s="18"/>
      <c r="F88" s="18"/>
      <c r="G88" s="18"/>
      <c r="H88" s="18">
        <v>2250</v>
      </c>
      <c r="I88" s="19"/>
      <c r="J88" s="20">
        <f>+J86+E88-G88</f>
        <v>0</v>
      </c>
      <c r="K88" s="20">
        <f>+K87+D88-H88</f>
        <v>135828.59999999998</v>
      </c>
    </row>
    <row r="89" spans="2:12" ht="18.75" x14ac:dyDescent="0.3">
      <c r="B89" s="49">
        <v>44214</v>
      </c>
      <c r="C89" s="21" t="s">
        <v>106</v>
      </c>
      <c r="D89" s="34"/>
      <c r="E89" s="18"/>
      <c r="F89" s="18"/>
      <c r="G89" s="18"/>
      <c r="H89" s="18">
        <v>1500</v>
      </c>
      <c r="I89" s="19"/>
      <c r="J89" s="20">
        <f t="shared" ref="J89:J93" si="6">+J87+E89-G89</f>
        <v>0</v>
      </c>
      <c r="K89" s="20">
        <f t="shared" ref="K89:K93" si="7">+K88+D89-H89</f>
        <v>134328.59999999998</v>
      </c>
      <c r="L89" s="1"/>
    </row>
    <row r="90" spans="2:12" ht="18.75" x14ac:dyDescent="0.3">
      <c r="B90" s="49">
        <v>44215</v>
      </c>
      <c r="C90" s="21" t="s">
        <v>107</v>
      </c>
      <c r="D90" s="34"/>
      <c r="E90" s="18"/>
      <c r="F90" s="18"/>
      <c r="G90" s="18"/>
      <c r="H90" s="18">
        <v>300</v>
      </c>
      <c r="I90" s="19"/>
      <c r="J90" s="20">
        <f t="shared" si="6"/>
        <v>0</v>
      </c>
      <c r="K90" s="20">
        <f t="shared" si="7"/>
        <v>134028.59999999998</v>
      </c>
    </row>
    <row r="91" spans="2:12" ht="18.75" x14ac:dyDescent="0.3">
      <c r="B91" s="49">
        <v>44215</v>
      </c>
      <c r="C91" s="17" t="s">
        <v>108</v>
      </c>
      <c r="D91" s="34"/>
      <c r="E91" s="34"/>
      <c r="F91" s="34"/>
      <c r="G91" s="18"/>
      <c r="H91" s="18">
        <v>217.9</v>
      </c>
      <c r="I91" s="19"/>
      <c r="J91" s="20">
        <f t="shared" si="6"/>
        <v>0</v>
      </c>
      <c r="K91" s="20">
        <f t="shared" si="7"/>
        <v>133810.69999999998</v>
      </c>
    </row>
    <row r="92" spans="2:12" ht="18.75" x14ac:dyDescent="0.3">
      <c r="B92" s="42">
        <v>44215</v>
      </c>
      <c r="C92" s="43" t="s">
        <v>109</v>
      </c>
      <c r="D92" s="18"/>
      <c r="E92" s="18"/>
      <c r="F92" s="18"/>
      <c r="G92" s="18"/>
      <c r="H92" s="18">
        <v>1195</v>
      </c>
      <c r="I92" s="19"/>
      <c r="J92" s="20">
        <f t="shared" si="6"/>
        <v>0</v>
      </c>
      <c r="K92" s="20">
        <f t="shared" si="7"/>
        <v>132615.69999999998</v>
      </c>
    </row>
    <row r="93" spans="2:12" ht="19.5" thickBot="1" x14ac:dyDescent="0.35">
      <c r="B93" s="42">
        <v>44216</v>
      </c>
      <c r="C93" s="43" t="s">
        <v>110</v>
      </c>
      <c r="D93" s="18"/>
      <c r="E93" s="18"/>
      <c r="F93" s="18"/>
      <c r="G93" s="18"/>
      <c r="H93" s="18">
        <v>1446.51</v>
      </c>
      <c r="I93" s="19"/>
      <c r="J93" s="20">
        <f t="shared" si="6"/>
        <v>0</v>
      </c>
      <c r="K93" s="20">
        <f t="shared" si="7"/>
        <v>131169.18999999997</v>
      </c>
    </row>
    <row r="94" spans="2:12" ht="19.5" thickBot="1" x14ac:dyDescent="0.35">
      <c r="B94" s="25"/>
      <c r="C94" s="26" t="s">
        <v>0</v>
      </c>
      <c r="D94" s="27">
        <f>SUM(D50:D93)</f>
        <v>195900</v>
      </c>
      <c r="E94" s="27">
        <f>SUM(E47:E93)</f>
        <v>0</v>
      </c>
      <c r="F94" s="29">
        <f>SUM(D94:E94)</f>
        <v>195900</v>
      </c>
      <c r="G94" s="30">
        <f>SUM(G47:G93)</f>
        <v>0</v>
      </c>
      <c r="H94" s="27">
        <f>SUM(H50:H93)</f>
        <v>97932.23</v>
      </c>
      <c r="I94" s="29">
        <f>SUM(G94:H94)</f>
        <v>97932.23</v>
      </c>
      <c r="J94" s="31">
        <v>0</v>
      </c>
      <c r="K94" s="31">
        <v>0</v>
      </c>
    </row>
    <row r="95" spans="2:12" ht="18.75" x14ac:dyDescent="0.3">
      <c r="B95" s="7" t="s">
        <v>1</v>
      </c>
      <c r="C95" s="7" t="s">
        <v>2</v>
      </c>
      <c r="D95" s="7" t="s">
        <v>3</v>
      </c>
      <c r="E95" s="7" t="s">
        <v>3</v>
      </c>
      <c r="F95" s="7" t="s">
        <v>8</v>
      </c>
      <c r="G95" s="7" t="s">
        <v>9</v>
      </c>
      <c r="H95" s="8" t="s">
        <v>9</v>
      </c>
      <c r="I95" s="8" t="s">
        <v>8</v>
      </c>
      <c r="J95" s="7" t="s">
        <v>7</v>
      </c>
      <c r="K95" s="8" t="s">
        <v>6</v>
      </c>
    </row>
    <row r="96" spans="2:12" ht="19.5" thickBot="1" x14ac:dyDescent="0.35">
      <c r="B96" s="9"/>
      <c r="C96" s="9"/>
      <c r="D96" s="9" t="s">
        <v>5</v>
      </c>
      <c r="E96" s="9" t="s">
        <v>7</v>
      </c>
      <c r="F96" s="9" t="s">
        <v>3</v>
      </c>
      <c r="G96" s="9" t="s">
        <v>7</v>
      </c>
      <c r="H96" s="10" t="s">
        <v>5</v>
      </c>
      <c r="I96" s="10" t="s">
        <v>4</v>
      </c>
      <c r="J96" s="9"/>
      <c r="K96" s="10"/>
    </row>
    <row r="97" spans="2:11" ht="19.5" thickBot="1" x14ac:dyDescent="0.35">
      <c r="B97" s="25"/>
      <c r="C97" s="26"/>
      <c r="D97" s="27">
        <v>195900</v>
      </c>
      <c r="E97" s="28">
        <v>0</v>
      </c>
      <c r="F97" s="29">
        <f>SUM(D97:E97)</f>
        <v>195900</v>
      </c>
      <c r="G97" s="30">
        <v>0</v>
      </c>
      <c r="H97" s="27">
        <v>97932.23</v>
      </c>
      <c r="I97" s="29">
        <f>SUM(G97:H97)</f>
        <v>97932.23</v>
      </c>
      <c r="J97" s="31">
        <v>0</v>
      </c>
      <c r="K97" s="53">
        <v>131169.19</v>
      </c>
    </row>
    <row r="98" spans="2:11" ht="18.75" x14ac:dyDescent="0.3">
      <c r="B98" s="42">
        <v>44217</v>
      </c>
      <c r="C98" s="43" t="s">
        <v>111</v>
      </c>
      <c r="D98" s="18"/>
      <c r="E98" s="18"/>
      <c r="F98" s="18"/>
      <c r="G98" s="18"/>
      <c r="H98" s="18">
        <v>270.3</v>
      </c>
      <c r="I98" s="19"/>
      <c r="J98" s="20">
        <f>+J97+E98-G98</f>
        <v>0</v>
      </c>
      <c r="K98" s="20">
        <f>+K97+D98-H98</f>
        <v>130898.89</v>
      </c>
    </row>
    <row r="99" spans="2:11" ht="18.75" x14ac:dyDescent="0.3">
      <c r="B99" s="49">
        <v>44217</v>
      </c>
      <c r="C99" s="21" t="s">
        <v>69</v>
      </c>
      <c r="D99" s="34"/>
      <c r="E99" s="18"/>
      <c r="F99" s="18"/>
      <c r="G99" s="18"/>
      <c r="H99" s="18">
        <v>500</v>
      </c>
      <c r="I99" s="19"/>
      <c r="J99" s="20">
        <f t="shared" ref="J99:J131" si="8">+J98+E99-G99</f>
        <v>0</v>
      </c>
      <c r="K99" s="20">
        <f t="shared" ref="K99:K131" si="9">+K98+D99-H99</f>
        <v>130398.89</v>
      </c>
    </row>
    <row r="100" spans="2:11" ht="18.75" x14ac:dyDescent="0.3">
      <c r="B100" s="42">
        <v>44218</v>
      </c>
      <c r="C100" s="43" t="s">
        <v>108</v>
      </c>
      <c r="D100" s="34"/>
      <c r="E100" s="18"/>
      <c r="F100" s="18"/>
      <c r="G100" s="18"/>
      <c r="H100" s="18">
        <v>92.25</v>
      </c>
      <c r="I100" s="19"/>
      <c r="J100" s="20">
        <f t="shared" si="8"/>
        <v>0</v>
      </c>
      <c r="K100" s="20">
        <f t="shared" si="9"/>
        <v>130306.64</v>
      </c>
    </row>
    <row r="101" spans="2:11" ht="18.75" x14ac:dyDescent="0.3">
      <c r="B101" s="42">
        <v>44218</v>
      </c>
      <c r="C101" s="43" t="s">
        <v>112</v>
      </c>
      <c r="D101" s="18"/>
      <c r="E101" s="18"/>
      <c r="F101" s="18"/>
      <c r="G101" s="18"/>
      <c r="H101" s="18">
        <v>470</v>
      </c>
      <c r="I101" s="19"/>
      <c r="J101" s="20">
        <f t="shared" si="8"/>
        <v>0</v>
      </c>
      <c r="K101" s="20">
        <f t="shared" si="9"/>
        <v>129836.64</v>
      </c>
    </row>
    <row r="102" spans="2:11" ht="18.75" x14ac:dyDescent="0.3">
      <c r="B102" s="49">
        <v>44218</v>
      </c>
      <c r="C102" s="21" t="s">
        <v>113</v>
      </c>
      <c r="D102" s="18"/>
      <c r="E102" s="18"/>
      <c r="F102" s="18"/>
      <c r="G102" s="18"/>
      <c r="H102" s="18">
        <v>20</v>
      </c>
      <c r="I102" s="19"/>
      <c r="J102" s="20">
        <f t="shared" si="8"/>
        <v>0</v>
      </c>
      <c r="K102" s="20">
        <f t="shared" si="9"/>
        <v>129816.64</v>
      </c>
    </row>
    <row r="103" spans="2:11" ht="18.75" x14ac:dyDescent="0.3">
      <c r="B103" s="49">
        <v>44218</v>
      </c>
      <c r="C103" s="21" t="s">
        <v>114</v>
      </c>
      <c r="D103" s="18"/>
      <c r="E103" s="18"/>
      <c r="F103" s="18"/>
      <c r="G103" s="18"/>
      <c r="H103" s="23">
        <v>160</v>
      </c>
      <c r="I103" s="19"/>
      <c r="J103" s="20">
        <f t="shared" si="8"/>
        <v>0</v>
      </c>
      <c r="K103" s="20">
        <f t="shared" si="9"/>
        <v>129656.64</v>
      </c>
    </row>
    <row r="104" spans="2:11" ht="18.75" x14ac:dyDescent="0.3">
      <c r="B104" s="49">
        <v>44218</v>
      </c>
      <c r="C104" s="54" t="s">
        <v>115</v>
      </c>
      <c r="D104" s="18"/>
      <c r="E104" s="18"/>
      <c r="F104" s="18"/>
      <c r="G104" s="18"/>
      <c r="H104" s="18">
        <v>200</v>
      </c>
      <c r="I104" s="19"/>
      <c r="J104" s="20">
        <f t="shared" si="8"/>
        <v>0</v>
      </c>
      <c r="K104" s="20">
        <f t="shared" si="9"/>
        <v>129456.64</v>
      </c>
    </row>
    <row r="105" spans="2:11" ht="18.75" x14ac:dyDescent="0.3">
      <c r="B105" s="49">
        <v>44219</v>
      </c>
      <c r="C105" s="21" t="s">
        <v>69</v>
      </c>
      <c r="D105" s="18"/>
      <c r="E105" s="18"/>
      <c r="F105" s="18"/>
      <c r="G105" s="18"/>
      <c r="H105" s="18">
        <v>550</v>
      </c>
      <c r="I105" s="19"/>
      <c r="J105" s="20">
        <f t="shared" si="8"/>
        <v>0</v>
      </c>
      <c r="K105" s="20">
        <f t="shared" si="9"/>
        <v>128906.64</v>
      </c>
    </row>
    <row r="106" spans="2:11" ht="18.75" x14ac:dyDescent="0.3">
      <c r="B106" s="58">
        <v>44220</v>
      </c>
      <c r="C106" s="24" t="s">
        <v>116</v>
      </c>
      <c r="D106" s="23"/>
      <c r="E106" s="23"/>
      <c r="F106" s="23"/>
      <c r="G106" s="23"/>
      <c r="H106" s="18">
        <v>100</v>
      </c>
      <c r="I106" s="19"/>
      <c r="J106" s="20">
        <f t="shared" si="8"/>
        <v>0</v>
      </c>
      <c r="K106" s="20">
        <f t="shared" si="9"/>
        <v>128806.64</v>
      </c>
    </row>
    <row r="107" spans="2:11" ht="18.75" x14ac:dyDescent="0.3">
      <c r="B107" s="58">
        <v>44220</v>
      </c>
      <c r="C107" s="24" t="s">
        <v>117</v>
      </c>
      <c r="D107" s="23"/>
      <c r="E107" s="23"/>
      <c r="F107" s="23"/>
      <c r="G107" s="23"/>
      <c r="H107" s="18">
        <v>200</v>
      </c>
      <c r="I107" s="19"/>
      <c r="J107" s="20">
        <f t="shared" si="8"/>
        <v>0</v>
      </c>
      <c r="K107" s="20">
        <f t="shared" si="9"/>
        <v>128606.64</v>
      </c>
    </row>
    <row r="108" spans="2:11" ht="18.75" x14ac:dyDescent="0.3">
      <c r="B108" s="58">
        <v>44220</v>
      </c>
      <c r="C108" s="24" t="s">
        <v>125</v>
      </c>
      <c r="D108" s="23">
        <v>64050</v>
      </c>
      <c r="E108" s="23"/>
      <c r="F108" s="23"/>
      <c r="G108" s="23"/>
      <c r="H108" s="18"/>
      <c r="I108" s="19"/>
      <c r="J108" s="20">
        <f t="shared" si="8"/>
        <v>0</v>
      </c>
      <c r="K108" s="20">
        <f t="shared" si="9"/>
        <v>192656.64000000001</v>
      </c>
    </row>
    <row r="109" spans="2:11" ht="18.75" x14ac:dyDescent="0.3">
      <c r="B109" s="58">
        <v>44221</v>
      </c>
      <c r="C109" s="24" t="s">
        <v>118</v>
      </c>
      <c r="D109" s="23"/>
      <c r="E109" s="23"/>
      <c r="F109" s="23"/>
      <c r="G109" s="23"/>
      <c r="H109" s="18">
        <v>126.56</v>
      </c>
      <c r="I109" s="19"/>
      <c r="J109" s="20">
        <f t="shared" si="8"/>
        <v>0</v>
      </c>
      <c r="K109" s="20">
        <f t="shared" si="9"/>
        <v>192530.08000000002</v>
      </c>
    </row>
    <row r="110" spans="2:11" ht="18.75" x14ac:dyDescent="0.3">
      <c r="B110" s="58">
        <v>44221</v>
      </c>
      <c r="C110" s="43" t="s">
        <v>45</v>
      </c>
      <c r="D110" s="18"/>
      <c r="E110" s="18"/>
      <c r="F110" s="18"/>
      <c r="G110" s="18"/>
      <c r="H110" s="18">
        <v>82</v>
      </c>
      <c r="I110" s="19"/>
      <c r="J110" s="20">
        <f t="shared" si="8"/>
        <v>0</v>
      </c>
      <c r="K110" s="20">
        <f t="shared" si="9"/>
        <v>192448.08000000002</v>
      </c>
    </row>
    <row r="111" spans="2:11" ht="18.75" x14ac:dyDescent="0.3">
      <c r="B111" s="42">
        <v>44221</v>
      </c>
      <c r="C111" s="43" t="s">
        <v>69</v>
      </c>
      <c r="D111" s="18"/>
      <c r="E111" s="18"/>
      <c r="F111" s="18"/>
      <c r="G111" s="18"/>
      <c r="H111" s="18">
        <v>500</v>
      </c>
      <c r="I111" s="19"/>
      <c r="J111" s="20">
        <f t="shared" si="8"/>
        <v>0</v>
      </c>
      <c r="K111" s="20">
        <f t="shared" si="9"/>
        <v>191948.08000000002</v>
      </c>
    </row>
    <row r="112" spans="2:11" ht="18.75" x14ac:dyDescent="0.3">
      <c r="B112" s="49">
        <v>44223</v>
      </c>
      <c r="C112" s="21" t="s">
        <v>119</v>
      </c>
      <c r="D112" s="18"/>
      <c r="E112" s="18"/>
      <c r="F112" s="18"/>
      <c r="G112" s="18"/>
      <c r="H112" s="18">
        <v>285</v>
      </c>
      <c r="I112" s="19"/>
      <c r="J112" s="20">
        <f t="shared" si="8"/>
        <v>0</v>
      </c>
      <c r="K112" s="20">
        <f t="shared" si="9"/>
        <v>191663.08000000002</v>
      </c>
    </row>
    <row r="113" spans="2:11" ht="18.75" x14ac:dyDescent="0.3">
      <c r="B113" s="49">
        <v>44223</v>
      </c>
      <c r="C113" s="21" t="s">
        <v>120</v>
      </c>
      <c r="D113" s="18"/>
      <c r="E113" s="18"/>
      <c r="F113" s="18"/>
      <c r="G113" s="18"/>
      <c r="H113" s="23">
        <v>20</v>
      </c>
      <c r="I113" s="19"/>
      <c r="J113" s="20">
        <f t="shared" si="8"/>
        <v>0</v>
      </c>
      <c r="K113" s="20">
        <f t="shared" si="9"/>
        <v>191643.08000000002</v>
      </c>
    </row>
    <row r="114" spans="2:11" ht="18.75" x14ac:dyDescent="0.3">
      <c r="B114" s="49">
        <v>44223</v>
      </c>
      <c r="C114" s="54" t="s">
        <v>121</v>
      </c>
      <c r="D114" s="18"/>
      <c r="E114" s="18"/>
      <c r="F114" s="18"/>
      <c r="G114" s="18"/>
      <c r="H114" s="18">
        <v>200</v>
      </c>
      <c r="I114" s="19"/>
      <c r="J114" s="20">
        <f t="shared" si="8"/>
        <v>0</v>
      </c>
      <c r="K114" s="20">
        <f t="shared" si="9"/>
        <v>191443.08000000002</v>
      </c>
    </row>
    <row r="115" spans="2:11" ht="18.75" x14ac:dyDescent="0.3">
      <c r="B115" s="49">
        <v>44223</v>
      </c>
      <c r="C115" s="21" t="s">
        <v>122</v>
      </c>
      <c r="D115" s="18"/>
      <c r="E115" s="18"/>
      <c r="F115" s="18"/>
      <c r="G115" s="18"/>
      <c r="H115" s="18">
        <v>300</v>
      </c>
      <c r="I115" s="19"/>
      <c r="J115" s="20">
        <f t="shared" si="8"/>
        <v>0</v>
      </c>
      <c r="K115" s="20">
        <f t="shared" si="9"/>
        <v>191143.08000000002</v>
      </c>
    </row>
    <row r="116" spans="2:11" ht="18.75" x14ac:dyDescent="0.3">
      <c r="B116" s="58">
        <v>44223</v>
      </c>
      <c r="C116" s="24" t="s">
        <v>69</v>
      </c>
      <c r="D116" s="23"/>
      <c r="E116" s="23"/>
      <c r="F116" s="23"/>
      <c r="G116" s="23"/>
      <c r="H116" s="18">
        <v>550</v>
      </c>
      <c r="I116" s="19"/>
      <c r="J116" s="20">
        <f t="shared" si="8"/>
        <v>0</v>
      </c>
      <c r="K116" s="20">
        <f t="shared" si="9"/>
        <v>190593.08000000002</v>
      </c>
    </row>
    <row r="117" spans="2:11" ht="18.75" x14ac:dyDescent="0.3">
      <c r="B117" s="58">
        <v>44224</v>
      </c>
      <c r="C117" s="43" t="s">
        <v>128</v>
      </c>
      <c r="D117" s="18"/>
      <c r="E117" s="18"/>
      <c r="F117" s="18"/>
      <c r="G117" s="18"/>
      <c r="H117" s="18">
        <v>270.5</v>
      </c>
      <c r="I117" s="19"/>
      <c r="J117" s="20">
        <f t="shared" si="8"/>
        <v>0</v>
      </c>
      <c r="K117" s="20">
        <f t="shared" si="9"/>
        <v>190322.58000000002</v>
      </c>
    </row>
    <row r="118" spans="2:11" ht="18.75" x14ac:dyDescent="0.3">
      <c r="B118" s="42">
        <v>44224</v>
      </c>
      <c r="C118" s="17" t="s">
        <v>129</v>
      </c>
      <c r="D118" s="18"/>
      <c r="E118" s="18"/>
      <c r="F118" s="18"/>
      <c r="G118" s="18"/>
      <c r="H118" s="18">
        <v>5</v>
      </c>
      <c r="I118" s="19"/>
      <c r="J118" s="20">
        <f t="shared" si="8"/>
        <v>0</v>
      </c>
      <c r="K118" s="20">
        <f t="shared" si="9"/>
        <v>190317.58000000002</v>
      </c>
    </row>
    <row r="119" spans="2:11" ht="18.75" x14ac:dyDescent="0.3">
      <c r="B119" s="42">
        <v>44224</v>
      </c>
      <c r="C119" s="17" t="s">
        <v>129</v>
      </c>
      <c r="D119" s="18"/>
      <c r="E119" s="18"/>
      <c r="F119" s="18"/>
      <c r="G119" s="18"/>
      <c r="H119" s="18">
        <v>56</v>
      </c>
      <c r="I119" s="19"/>
      <c r="J119" s="20">
        <f t="shared" si="8"/>
        <v>0</v>
      </c>
      <c r="K119" s="20">
        <f t="shared" si="9"/>
        <v>190261.58000000002</v>
      </c>
    </row>
    <row r="120" spans="2:11" ht="18.75" x14ac:dyDescent="0.3">
      <c r="B120" s="42">
        <v>44224</v>
      </c>
      <c r="C120" s="43" t="s">
        <v>130</v>
      </c>
      <c r="D120" s="18"/>
      <c r="E120" s="18"/>
      <c r="F120" s="18"/>
      <c r="G120" s="18"/>
      <c r="H120" s="18">
        <v>571</v>
      </c>
      <c r="I120" s="19"/>
      <c r="J120" s="20">
        <f t="shared" si="8"/>
        <v>0</v>
      </c>
      <c r="K120" s="20">
        <f t="shared" si="9"/>
        <v>189690.58000000002</v>
      </c>
    </row>
    <row r="121" spans="2:11" ht="18.75" x14ac:dyDescent="0.3">
      <c r="B121" s="49">
        <v>44224</v>
      </c>
      <c r="C121" s="21" t="s">
        <v>131</v>
      </c>
      <c r="D121" s="18"/>
      <c r="E121" s="18"/>
      <c r="F121" s="18"/>
      <c r="G121" s="18"/>
      <c r="H121" s="23">
        <v>395</v>
      </c>
      <c r="I121" s="19"/>
      <c r="J121" s="20">
        <f t="shared" si="8"/>
        <v>0</v>
      </c>
      <c r="K121" s="20">
        <f t="shared" si="9"/>
        <v>189295.58000000002</v>
      </c>
    </row>
    <row r="122" spans="2:11" ht="18.75" x14ac:dyDescent="0.3">
      <c r="B122" s="49">
        <v>44225</v>
      </c>
      <c r="C122" s="21" t="s">
        <v>69</v>
      </c>
      <c r="D122" s="18"/>
      <c r="E122" s="18"/>
      <c r="F122" s="18"/>
      <c r="G122" s="18"/>
      <c r="H122" s="18">
        <v>550</v>
      </c>
      <c r="I122" s="19"/>
      <c r="J122" s="20">
        <f t="shared" si="8"/>
        <v>0</v>
      </c>
      <c r="K122" s="20">
        <f t="shared" si="9"/>
        <v>188745.58000000002</v>
      </c>
    </row>
    <row r="123" spans="2:11" ht="18.75" x14ac:dyDescent="0.3">
      <c r="B123" s="49">
        <v>44226</v>
      </c>
      <c r="C123" s="54" t="s">
        <v>121</v>
      </c>
      <c r="D123" s="18"/>
      <c r="E123" s="18"/>
      <c r="F123" s="18"/>
      <c r="G123" s="18"/>
      <c r="H123" s="18">
        <v>3500</v>
      </c>
      <c r="I123" s="19"/>
      <c r="J123" s="20">
        <f t="shared" si="8"/>
        <v>0</v>
      </c>
      <c r="K123" s="20">
        <f t="shared" si="9"/>
        <v>185245.58000000002</v>
      </c>
    </row>
    <row r="124" spans="2:11" ht="18.75" x14ac:dyDescent="0.3">
      <c r="B124" s="49">
        <v>44227</v>
      </c>
      <c r="C124" s="21" t="s">
        <v>127</v>
      </c>
      <c r="D124" s="18">
        <v>20600</v>
      </c>
      <c r="E124" s="18"/>
      <c r="F124" s="18"/>
      <c r="G124" s="18"/>
      <c r="H124" s="18"/>
      <c r="I124" s="19"/>
      <c r="J124" s="20">
        <f t="shared" si="8"/>
        <v>0</v>
      </c>
      <c r="K124" s="20">
        <f t="shared" si="9"/>
        <v>205845.58000000002</v>
      </c>
    </row>
    <row r="125" spans="2:11" ht="18.75" x14ac:dyDescent="0.3">
      <c r="B125" s="58">
        <v>44227</v>
      </c>
      <c r="C125" s="24" t="s">
        <v>87</v>
      </c>
      <c r="D125" s="23"/>
      <c r="E125" s="23"/>
      <c r="F125" s="23"/>
      <c r="G125" s="23"/>
      <c r="H125" s="18">
        <v>300</v>
      </c>
      <c r="I125" s="19"/>
      <c r="J125" s="20">
        <f t="shared" si="8"/>
        <v>0</v>
      </c>
      <c r="K125" s="20">
        <f t="shared" si="9"/>
        <v>205545.58000000002</v>
      </c>
    </row>
    <row r="126" spans="2:11" ht="18.75" x14ac:dyDescent="0.3">
      <c r="B126" s="58">
        <v>44227</v>
      </c>
      <c r="C126" s="24" t="s">
        <v>132</v>
      </c>
      <c r="D126" s="23"/>
      <c r="E126" s="23"/>
      <c r="F126" s="23"/>
      <c r="G126" s="23"/>
      <c r="H126" s="18">
        <v>400</v>
      </c>
      <c r="I126" s="19"/>
      <c r="J126" s="20">
        <f t="shared" si="8"/>
        <v>0</v>
      </c>
      <c r="K126" s="20">
        <f t="shared" si="9"/>
        <v>205145.58000000002</v>
      </c>
    </row>
    <row r="127" spans="2:11" ht="18.75" x14ac:dyDescent="0.3">
      <c r="B127" s="58">
        <v>44227</v>
      </c>
      <c r="C127" s="24" t="s">
        <v>133</v>
      </c>
      <c r="D127" s="23"/>
      <c r="E127" s="23"/>
      <c r="F127" s="23"/>
      <c r="G127" s="23"/>
      <c r="H127" s="18">
        <v>3000</v>
      </c>
      <c r="I127" s="19"/>
      <c r="J127" s="20">
        <f t="shared" si="8"/>
        <v>0</v>
      </c>
      <c r="K127" s="20">
        <f t="shared" si="9"/>
        <v>202145.58000000002</v>
      </c>
    </row>
    <row r="128" spans="2:11" ht="18.75" x14ac:dyDescent="0.3">
      <c r="B128" s="58">
        <v>44227</v>
      </c>
      <c r="C128" s="43" t="s">
        <v>134</v>
      </c>
      <c r="D128" s="18"/>
      <c r="E128" s="18"/>
      <c r="F128" s="18"/>
      <c r="G128" s="18"/>
      <c r="H128" s="18">
        <v>100</v>
      </c>
      <c r="I128" s="19"/>
      <c r="J128" s="20">
        <f t="shared" si="8"/>
        <v>0</v>
      </c>
      <c r="K128" s="20">
        <f t="shared" si="9"/>
        <v>202045.58000000002</v>
      </c>
    </row>
    <row r="129" spans="2:11" ht="18.75" x14ac:dyDescent="0.3">
      <c r="B129" s="42">
        <v>44227</v>
      </c>
      <c r="C129" s="17" t="s">
        <v>96</v>
      </c>
      <c r="D129" s="18"/>
      <c r="E129" s="18"/>
      <c r="F129" s="18"/>
      <c r="G129" s="18"/>
      <c r="H129" s="18">
        <v>150</v>
      </c>
      <c r="I129" s="19"/>
      <c r="J129" s="20">
        <f t="shared" si="8"/>
        <v>0</v>
      </c>
      <c r="K129" s="20">
        <f t="shared" si="9"/>
        <v>201895.58000000002</v>
      </c>
    </row>
    <row r="130" spans="2:11" ht="18.75" x14ac:dyDescent="0.3">
      <c r="B130" s="42">
        <v>44227</v>
      </c>
      <c r="C130" s="17" t="s">
        <v>123</v>
      </c>
      <c r="D130" s="18"/>
      <c r="E130" s="18"/>
      <c r="F130" s="18"/>
      <c r="G130" s="18"/>
      <c r="H130" s="18">
        <v>100</v>
      </c>
      <c r="I130" s="19"/>
      <c r="J130" s="20">
        <f t="shared" si="8"/>
        <v>0</v>
      </c>
      <c r="K130" s="20">
        <f t="shared" si="9"/>
        <v>201795.58000000002</v>
      </c>
    </row>
    <row r="131" spans="2:11" ht="18.75" x14ac:dyDescent="0.3">
      <c r="B131" s="42">
        <v>44227</v>
      </c>
      <c r="C131" s="17" t="s">
        <v>124</v>
      </c>
      <c r="D131" s="18"/>
      <c r="E131" s="18"/>
      <c r="F131" s="18"/>
      <c r="G131" s="18"/>
      <c r="H131" s="18">
        <v>200</v>
      </c>
      <c r="I131" s="19"/>
      <c r="J131" s="20">
        <f t="shared" si="8"/>
        <v>0</v>
      </c>
      <c r="K131" s="20">
        <f t="shared" si="9"/>
        <v>201595.58000000002</v>
      </c>
    </row>
    <row r="132" spans="2:11" ht="18.75" x14ac:dyDescent="0.3">
      <c r="B132" s="42">
        <v>44227</v>
      </c>
      <c r="C132" s="43" t="s">
        <v>91</v>
      </c>
      <c r="D132" s="18"/>
      <c r="E132" s="18"/>
      <c r="F132" s="18"/>
      <c r="G132" s="18"/>
      <c r="H132" s="18">
        <v>250</v>
      </c>
      <c r="I132" s="19"/>
      <c r="J132" s="20">
        <f>+J130+E132-G132</f>
        <v>0</v>
      </c>
      <c r="K132" s="20">
        <f>+K131+D132-H132</f>
        <v>201345.58000000002</v>
      </c>
    </row>
    <row r="133" spans="2:11" ht="18.75" x14ac:dyDescent="0.3">
      <c r="B133" s="49">
        <v>44227</v>
      </c>
      <c r="C133" s="21" t="s">
        <v>92</v>
      </c>
      <c r="D133" s="18"/>
      <c r="E133" s="18"/>
      <c r="F133" s="18"/>
      <c r="G133" s="18"/>
      <c r="H133" s="18">
        <v>300</v>
      </c>
      <c r="I133" s="19"/>
      <c r="J133" s="20">
        <f t="shared" ref="J133:J140" si="10">+J131+E133-G133</f>
        <v>0</v>
      </c>
      <c r="K133" s="20">
        <f t="shared" ref="K133:K140" si="11">+K132+D133-H133</f>
        <v>201045.58000000002</v>
      </c>
    </row>
    <row r="134" spans="2:11" ht="18.75" x14ac:dyDescent="0.3">
      <c r="B134" s="49">
        <v>44227</v>
      </c>
      <c r="C134" s="21" t="s">
        <v>93</v>
      </c>
      <c r="D134" s="18"/>
      <c r="E134" s="18"/>
      <c r="F134" s="18"/>
      <c r="G134" s="18"/>
      <c r="H134" s="23">
        <v>650</v>
      </c>
      <c r="I134" s="19"/>
      <c r="J134" s="20">
        <f t="shared" si="10"/>
        <v>0</v>
      </c>
      <c r="K134" s="20">
        <f t="shared" si="11"/>
        <v>200395.58000000002</v>
      </c>
    </row>
    <row r="135" spans="2:11" ht="18.75" x14ac:dyDescent="0.3">
      <c r="B135" s="49">
        <v>44227</v>
      </c>
      <c r="C135" s="54" t="s">
        <v>86</v>
      </c>
      <c r="D135" s="18"/>
      <c r="E135" s="18"/>
      <c r="F135" s="18"/>
      <c r="G135" s="18"/>
      <c r="H135" s="18">
        <v>3000</v>
      </c>
      <c r="I135" s="19"/>
      <c r="J135" s="20">
        <f t="shared" si="10"/>
        <v>0</v>
      </c>
      <c r="K135" s="20">
        <f t="shared" si="11"/>
        <v>197395.58000000002</v>
      </c>
    </row>
    <row r="136" spans="2:11" ht="18.75" x14ac:dyDescent="0.3">
      <c r="B136" s="49">
        <v>44227</v>
      </c>
      <c r="C136" s="21" t="s">
        <v>80</v>
      </c>
      <c r="D136" s="18"/>
      <c r="E136" s="18"/>
      <c r="F136" s="18"/>
      <c r="G136" s="18"/>
      <c r="H136" s="18">
        <v>3400</v>
      </c>
      <c r="I136" s="19"/>
      <c r="J136" s="20">
        <f t="shared" si="10"/>
        <v>0</v>
      </c>
      <c r="K136" s="20">
        <f t="shared" si="11"/>
        <v>193995.58000000002</v>
      </c>
    </row>
    <row r="137" spans="2:11" ht="18.75" x14ac:dyDescent="0.3">
      <c r="B137" s="58">
        <v>44227</v>
      </c>
      <c r="C137" s="24" t="s">
        <v>137</v>
      </c>
      <c r="D137" s="23">
        <v>9000</v>
      </c>
      <c r="E137" s="23"/>
      <c r="F137" s="23"/>
      <c r="G137" s="23"/>
      <c r="H137" s="18"/>
      <c r="I137" s="19"/>
      <c r="J137" s="20">
        <f t="shared" si="10"/>
        <v>0</v>
      </c>
      <c r="K137" s="20">
        <f t="shared" si="11"/>
        <v>202995.58000000002</v>
      </c>
    </row>
    <row r="138" spans="2:11" ht="18.75" x14ac:dyDescent="0.3">
      <c r="B138" s="58">
        <v>44227</v>
      </c>
      <c r="C138" s="24" t="s">
        <v>88</v>
      </c>
      <c r="D138" s="23"/>
      <c r="E138" s="23"/>
      <c r="F138" s="23"/>
      <c r="G138" s="23"/>
      <c r="H138" s="18">
        <v>9000</v>
      </c>
      <c r="I138" s="19"/>
      <c r="J138" s="20">
        <f t="shared" si="10"/>
        <v>0</v>
      </c>
      <c r="K138" s="20">
        <f t="shared" si="11"/>
        <v>193995.58000000002</v>
      </c>
    </row>
    <row r="139" spans="2:11" ht="18.75" x14ac:dyDescent="0.3">
      <c r="B139" s="58">
        <v>44227</v>
      </c>
      <c r="C139" s="24" t="s">
        <v>89</v>
      </c>
      <c r="D139" s="23"/>
      <c r="E139" s="23"/>
      <c r="F139" s="23"/>
      <c r="G139" s="23"/>
      <c r="H139" s="18">
        <v>29250</v>
      </c>
      <c r="I139" s="19"/>
      <c r="J139" s="20">
        <f t="shared" si="10"/>
        <v>0</v>
      </c>
      <c r="K139" s="20">
        <f t="shared" si="11"/>
        <v>164745.58000000002</v>
      </c>
    </row>
    <row r="140" spans="2:11" ht="19.5" thickBot="1" x14ac:dyDescent="0.35">
      <c r="B140" s="58">
        <v>44227</v>
      </c>
      <c r="C140" s="43" t="s">
        <v>84</v>
      </c>
      <c r="D140" s="18"/>
      <c r="E140" s="18"/>
      <c r="F140" s="18"/>
      <c r="G140" s="18"/>
      <c r="H140" s="18">
        <v>5400</v>
      </c>
      <c r="I140" s="19"/>
      <c r="J140" s="20">
        <f t="shared" si="10"/>
        <v>0</v>
      </c>
      <c r="K140" s="20">
        <f t="shared" si="11"/>
        <v>159345.58000000002</v>
      </c>
    </row>
    <row r="141" spans="2:11" ht="19.5" thickBot="1" x14ac:dyDescent="0.35">
      <c r="B141" s="25"/>
      <c r="C141" s="26" t="s">
        <v>0</v>
      </c>
      <c r="D141" s="27">
        <f>SUM(D97:D140)</f>
        <v>289550</v>
      </c>
      <c r="E141" s="27">
        <f>SUM(E97:E131)</f>
        <v>0</v>
      </c>
      <c r="F141" s="29">
        <f>SUM(D141:E141)</f>
        <v>289550</v>
      </c>
      <c r="G141" s="30">
        <f>SUM(G97:G131)</f>
        <v>0</v>
      </c>
      <c r="H141" s="27">
        <f>SUM(H97:H140)</f>
        <v>163405.84</v>
      </c>
      <c r="I141" s="29">
        <f>SUM(G141:H141)</f>
        <v>163405.84</v>
      </c>
      <c r="J141" s="31">
        <v>0</v>
      </c>
      <c r="K141" s="31">
        <v>0</v>
      </c>
    </row>
    <row r="142" spans="2:11" ht="19.5" thickBot="1" x14ac:dyDescent="0.35"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2:11" ht="19.5" thickBot="1" x14ac:dyDescent="0.35">
      <c r="B143" s="5"/>
      <c r="C143" s="5"/>
      <c r="D143" s="5"/>
      <c r="E143" s="5"/>
      <c r="F143" s="5"/>
      <c r="G143" s="5"/>
      <c r="H143" s="5"/>
      <c r="I143" s="35" t="s">
        <v>7</v>
      </c>
      <c r="J143" s="35" t="s">
        <v>6</v>
      </c>
      <c r="K143" s="36" t="s">
        <v>0</v>
      </c>
    </row>
    <row r="144" spans="2:11" ht="19.5" thickBot="1" x14ac:dyDescent="0.35">
      <c r="B144" s="5"/>
      <c r="C144" s="5"/>
      <c r="D144" s="5"/>
      <c r="E144" s="5"/>
      <c r="F144" s="5"/>
      <c r="G144" s="5"/>
      <c r="H144" s="5"/>
      <c r="I144" s="37">
        <v>0</v>
      </c>
      <c r="J144" s="37">
        <v>159345.57999999999</v>
      </c>
      <c r="K144" s="31">
        <f>SUM(I144:J144)</f>
        <v>159345.57999999999</v>
      </c>
    </row>
  </sheetData>
  <printOptions verticalCentered="1"/>
  <pageMargins left="0.23622047244094491" right="0.23622047244094491" top="0.15748031496062992" bottom="0.35433070866141736" header="0.31496062992125984" footer="0.31496062992125984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42"/>
  <sheetViews>
    <sheetView zoomScale="80" zoomScaleNormal="80" workbookViewId="0">
      <pane ySplit="3" topLeftCell="A125" activePane="bottomLeft" state="frozen"/>
      <selection pane="bottomLeft" activeCell="C125" sqref="C125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6.42578125" customWidth="1"/>
    <col min="4" max="11" width="13" customWidth="1"/>
    <col min="12" max="12" width="11.85546875" customWidth="1"/>
    <col min="13" max="13" width="13.7109375" customWidth="1"/>
    <col min="14" max="14" width="38.7109375" customWidth="1"/>
    <col min="22" max="22" width="12.85546875" customWidth="1"/>
  </cols>
  <sheetData>
    <row r="1" spans="2:22" ht="19.5" thickBot="1" x14ac:dyDescent="0.35">
      <c r="B1" s="83"/>
      <c r="C1" s="6" t="s">
        <v>12</v>
      </c>
      <c r="D1" s="71"/>
      <c r="E1" s="71"/>
      <c r="F1" s="71"/>
      <c r="G1" s="71"/>
      <c r="H1" s="71"/>
      <c r="I1" s="71"/>
      <c r="J1" s="71"/>
      <c r="K1" s="71"/>
      <c r="M1" s="39"/>
      <c r="N1" s="59"/>
      <c r="O1" s="5"/>
      <c r="P1" s="5"/>
      <c r="Q1" s="5"/>
      <c r="R1" s="5"/>
      <c r="S1" s="5"/>
      <c r="T1" s="5"/>
      <c r="U1" s="5"/>
      <c r="V1" s="5"/>
    </row>
    <row r="2" spans="2:22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  <c r="M2" s="60"/>
      <c r="N2" s="60"/>
      <c r="O2" s="60"/>
      <c r="P2" s="60"/>
      <c r="Q2" s="60"/>
      <c r="R2" s="60"/>
      <c r="S2" s="61"/>
      <c r="T2" s="61"/>
      <c r="U2" s="60"/>
      <c r="V2" s="61"/>
    </row>
    <row r="3" spans="2:22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  <c r="M3" s="60"/>
      <c r="N3" s="60"/>
      <c r="O3" s="60"/>
      <c r="P3" s="60"/>
      <c r="Q3" s="60"/>
      <c r="R3" s="60"/>
      <c r="S3" s="61"/>
      <c r="T3" s="61"/>
      <c r="U3" s="60"/>
      <c r="V3" s="61"/>
    </row>
    <row r="4" spans="2:22" ht="18.75" x14ac:dyDescent="0.3">
      <c r="B4" s="52">
        <v>44227</v>
      </c>
      <c r="C4" s="12" t="s">
        <v>13</v>
      </c>
      <c r="D4" s="13"/>
      <c r="E4" s="14"/>
      <c r="F4" s="14"/>
      <c r="G4" s="14"/>
      <c r="H4" s="15"/>
      <c r="I4" s="16"/>
      <c r="J4" s="53">
        <v>0</v>
      </c>
      <c r="K4" s="53">
        <v>159345.57999999999</v>
      </c>
      <c r="M4" s="62"/>
      <c r="N4" s="63"/>
      <c r="O4" s="60"/>
      <c r="P4" s="64"/>
      <c r="Q4" s="64"/>
      <c r="R4" s="64"/>
      <c r="S4" s="65"/>
      <c r="T4" s="65"/>
      <c r="U4" s="66"/>
      <c r="V4" s="66"/>
    </row>
    <row r="5" spans="2:22" ht="18.75" x14ac:dyDescent="0.3">
      <c r="B5" s="11">
        <v>44228</v>
      </c>
      <c r="C5" s="40" t="s">
        <v>138</v>
      </c>
      <c r="D5" s="34">
        <v>25200</v>
      </c>
      <c r="E5" s="14"/>
      <c r="F5" s="14"/>
      <c r="G5" s="14"/>
      <c r="H5" s="15"/>
      <c r="I5" s="16"/>
      <c r="J5" s="20">
        <f t="shared" ref="J5:J46" si="0">+J4+E5-G5</f>
        <v>0</v>
      </c>
      <c r="K5" s="20">
        <f t="shared" ref="K5:K46" si="1">+K4+D5-H5</f>
        <v>184545.58</v>
      </c>
      <c r="M5" s="67"/>
      <c r="N5" s="68"/>
      <c r="O5" s="69"/>
      <c r="P5" s="64"/>
      <c r="Q5" s="64"/>
      <c r="R5" s="64"/>
      <c r="S5" s="65"/>
      <c r="T5" s="65"/>
      <c r="U5" s="70"/>
      <c r="V5" s="70"/>
    </row>
    <row r="6" spans="2:22" ht="18.75" x14ac:dyDescent="0.3">
      <c r="B6" s="11">
        <v>44228</v>
      </c>
      <c r="C6" s="54" t="s">
        <v>140</v>
      </c>
      <c r="D6" s="34"/>
      <c r="E6" s="18"/>
      <c r="F6" s="18"/>
      <c r="G6" s="18"/>
      <c r="H6" s="23">
        <v>1785</v>
      </c>
      <c r="I6" s="19"/>
      <c r="J6" s="20">
        <f t="shared" si="0"/>
        <v>0</v>
      </c>
      <c r="K6" s="20">
        <f t="shared" si="1"/>
        <v>182760.58</v>
      </c>
      <c r="M6" s="67"/>
      <c r="N6" s="68"/>
      <c r="O6" s="69"/>
      <c r="P6" s="65"/>
      <c r="Q6" s="65"/>
      <c r="R6" s="65"/>
      <c r="S6" s="76"/>
      <c r="T6" s="65"/>
      <c r="U6" s="70"/>
      <c r="V6" s="70"/>
    </row>
    <row r="7" spans="2:22" ht="18.75" x14ac:dyDescent="0.3">
      <c r="B7" s="22">
        <v>44228</v>
      </c>
      <c r="C7" s="21" t="s">
        <v>141</v>
      </c>
      <c r="D7" s="34"/>
      <c r="E7" s="18"/>
      <c r="F7" s="18"/>
      <c r="G7" s="18"/>
      <c r="H7" s="23">
        <v>60</v>
      </c>
      <c r="I7" s="19"/>
      <c r="J7" s="20">
        <f t="shared" si="0"/>
        <v>0</v>
      </c>
      <c r="K7" s="20">
        <f t="shared" si="1"/>
        <v>182700.58</v>
      </c>
      <c r="M7" s="67"/>
      <c r="N7" s="71"/>
      <c r="O7" s="69"/>
      <c r="P7" s="65"/>
      <c r="Q7" s="65"/>
      <c r="R7" s="65"/>
      <c r="S7" s="76"/>
      <c r="T7" s="65"/>
      <c r="U7" s="70"/>
      <c r="V7" s="70"/>
    </row>
    <row r="8" spans="2:22" ht="18.75" x14ac:dyDescent="0.3">
      <c r="B8" s="22">
        <v>44228</v>
      </c>
      <c r="C8" s="41" t="s">
        <v>173</v>
      </c>
      <c r="D8" s="34"/>
      <c r="E8" s="18"/>
      <c r="F8" s="18"/>
      <c r="G8" s="18"/>
      <c r="H8" s="23">
        <v>300</v>
      </c>
      <c r="I8" s="19"/>
      <c r="J8" s="20">
        <f t="shared" si="0"/>
        <v>0</v>
      </c>
      <c r="K8" s="20">
        <f t="shared" si="1"/>
        <v>182400.58</v>
      </c>
      <c r="M8" s="67"/>
      <c r="N8" s="72"/>
      <c r="O8" s="69"/>
      <c r="P8" s="65"/>
      <c r="Q8" s="65"/>
      <c r="R8" s="65"/>
      <c r="S8" s="76"/>
      <c r="T8" s="65"/>
      <c r="U8" s="70"/>
      <c r="V8" s="70"/>
    </row>
    <row r="9" spans="2:22" ht="18.75" x14ac:dyDescent="0.3">
      <c r="B9" s="22">
        <v>44228</v>
      </c>
      <c r="C9" s="21" t="s">
        <v>142</v>
      </c>
      <c r="D9" s="34"/>
      <c r="E9" s="18"/>
      <c r="F9" s="18"/>
      <c r="G9" s="18"/>
      <c r="H9" s="23">
        <v>200</v>
      </c>
      <c r="I9" s="19"/>
      <c r="J9" s="20">
        <f t="shared" si="0"/>
        <v>0</v>
      </c>
      <c r="K9" s="20">
        <f t="shared" si="1"/>
        <v>182200.58</v>
      </c>
      <c r="M9" s="67"/>
      <c r="N9" s="71"/>
      <c r="O9" s="69"/>
      <c r="P9" s="65"/>
      <c r="Q9" s="65"/>
      <c r="R9" s="65"/>
      <c r="S9" s="76"/>
      <c r="T9" s="65"/>
      <c r="U9" s="70"/>
      <c r="V9" s="70"/>
    </row>
    <row r="10" spans="2:22" ht="18.75" x14ac:dyDescent="0.3">
      <c r="B10" s="22">
        <v>44228</v>
      </c>
      <c r="C10" s="21" t="s">
        <v>143</v>
      </c>
      <c r="D10" s="34"/>
      <c r="E10" s="18"/>
      <c r="F10" s="18"/>
      <c r="G10" s="18"/>
      <c r="H10" s="23">
        <v>250</v>
      </c>
      <c r="I10" s="19"/>
      <c r="J10" s="20">
        <f t="shared" si="0"/>
        <v>0</v>
      </c>
      <c r="K10" s="20">
        <f t="shared" si="1"/>
        <v>181950.58</v>
      </c>
      <c r="M10" s="67"/>
      <c r="N10" s="71"/>
      <c r="O10" s="69"/>
      <c r="P10" s="65"/>
      <c r="Q10" s="65"/>
      <c r="R10" s="65"/>
      <c r="S10" s="76"/>
      <c r="T10" s="65"/>
      <c r="U10" s="70"/>
      <c r="V10" s="70"/>
    </row>
    <row r="11" spans="2:22" ht="18.75" x14ac:dyDescent="0.3">
      <c r="B11" s="22">
        <v>44228</v>
      </c>
      <c r="C11" s="41" t="s">
        <v>144</v>
      </c>
      <c r="D11" s="34"/>
      <c r="E11" s="18"/>
      <c r="F11" s="18"/>
      <c r="G11" s="18"/>
      <c r="H11" s="23">
        <v>82</v>
      </c>
      <c r="I11" s="19"/>
      <c r="J11" s="20">
        <f t="shared" si="0"/>
        <v>0</v>
      </c>
      <c r="K11" s="20">
        <f t="shared" si="1"/>
        <v>181868.58</v>
      </c>
      <c r="M11" s="67"/>
      <c r="N11" s="72"/>
      <c r="O11" s="69"/>
      <c r="P11" s="65"/>
      <c r="Q11" s="65"/>
      <c r="R11" s="65"/>
      <c r="S11" s="76"/>
      <c r="T11" s="65"/>
      <c r="U11" s="70"/>
      <c r="V11" s="70"/>
    </row>
    <row r="12" spans="2:22" ht="18.75" x14ac:dyDescent="0.3">
      <c r="B12" s="22">
        <v>44228</v>
      </c>
      <c r="C12" s="24" t="s">
        <v>145</v>
      </c>
      <c r="D12" s="34"/>
      <c r="E12" s="18"/>
      <c r="F12" s="18"/>
      <c r="G12" s="18"/>
      <c r="H12" s="23">
        <v>450</v>
      </c>
      <c r="I12" s="19"/>
      <c r="J12" s="20">
        <f t="shared" si="0"/>
        <v>0</v>
      </c>
      <c r="K12" s="20">
        <f t="shared" si="1"/>
        <v>181418.58</v>
      </c>
      <c r="M12" s="67"/>
      <c r="N12" s="73"/>
      <c r="O12" s="69"/>
      <c r="P12" s="65"/>
      <c r="Q12" s="65"/>
      <c r="R12" s="65"/>
      <c r="S12" s="76"/>
      <c r="T12" s="65"/>
      <c r="U12" s="70"/>
      <c r="V12" s="70"/>
    </row>
    <row r="13" spans="2:22" ht="18.75" x14ac:dyDescent="0.3">
      <c r="B13" s="22">
        <v>44228</v>
      </c>
      <c r="C13" s="21" t="s">
        <v>146</v>
      </c>
      <c r="D13" s="34"/>
      <c r="E13" s="18"/>
      <c r="F13" s="18"/>
      <c r="G13" s="18"/>
      <c r="H13" s="23">
        <v>50</v>
      </c>
      <c r="I13" s="19"/>
      <c r="J13" s="20">
        <f t="shared" si="0"/>
        <v>0</v>
      </c>
      <c r="K13" s="20">
        <f t="shared" si="1"/>
        <v>181368.58</v>
      </c>
      <c r="M13" s="67"/>
      <c r="N13" s="71"/>
      <c r="O13" s="69"/>
      <c r="P13" s="65"/>
      <c r="Q13" s="65"/>
      <c r="R13" s="65"/>
      <c r="S13" s="76"/>
      <c r="T13" s="65"/>
      <c r="U13" s="70"/>
      <c r="V13" s="70"/>
    </row>
    <row r="14" spans="2:22" ht="18.75" x14ac:dyDescent="0.3">
      <c r="B14" s="22">
        <v>44229</v>
      </c>
      <c r="C14" s="21" t="s">
        <v>147</v>
      </c>
      <c r="D14" s="34"/>
      <c r="E14" s="18"/>
      <c r="F14" s="18"/>
      <c r="G14" s="18"/>
      <c r="H14" s="23">
        <v>200</v>
      </c>
      <c r="I14" s="19"/>
      <c r="J14" s="20">
        <f t="shared" si="0"/>
        <v>0</v>
      </c>
      <c r="K14" s="20">
        <f t="shared" si="1"/>
        <v>181168.58</v>
      </c>
      <c r="M14" s="67"/>
      <c r="N14" s="71"/>
      <c r="O14" s="69"/>
      <c r="P14" s="65"/>
      <c r="Q14" s="65"/>
      <c r="R14" s="65"/>
      <c r="S14" s="76"/>
      <c r="T14" s="65"/>
      <c r="U14" s="70"/>
      <c r="V14" s="70"/>
    </row>
    <row r="15" spans="2:22" ht="18.75" x14ac:dyDescent="0.3">
      <c r="B15" s="22">
        <v>44229</v>
      </c>
      <c r="C15" s="21" t="s">
        <v>148</v>
      </c>
      <c r="D15" s="34"/>
      <c r="E15" s="18"/>
      <c r="F15" s="18"/>
      <c r="G15" s="18"/>
      <c r="H15" s="23">
        <v>200</v>
      </c>
      <c r="I15" s="19"/>
      <c r="J15" s="20">
        <f t="shared" si="0"/>
        <v>0</v>
      </c>
      <c r="K15" s="20">
        <f t="shared" si="1"/>
        <v>180968.58</v>
      </c>
      <c r="M15" s="67"/>
      <c r="N15" s="71"/>
      <c r="O15" s="69"/>
      <c r="P15" s="65"/>
      <c r="Q15" s="65"/>
      <c r="R15" s="65"/>
      <c r="S15" s="76"/>
      <c r="T15" s="65"/>
      <c r="U15" s="70"/>
      <c r="V15" s="70"/>
    </row>
    <row r="16" spans="2:22" ht="18.75" x14ac:dyDescent="0.3">
      <c r="B16" s="22">
        <v>44231</v>
      </c>
      <c r="C16" s="41" t="s">
        <v>149</v>
      </c>
      <c r="D16" s="34"/>
      <c r="E16" s="18"/>
      <c r="F16" s="18"/>
      <c r="G16" s="18"/>
      <c r="H16" s="23">
        <v>346</v>
      </c>
      <c r="I16" s="19"/>
      <c r="J16" s="20">
        <f t="shared" si="0"/>
        <v>0</v>
      </c>
      <c r="K16" s="20">
        <f t="shared" si="1"/>
        <v>180622.58</v>
      </c>
      <c r="M16" s="67"/>
      <c r="N16" s="72"/>
      <c r="O16" s="69"/>
      <c r="P16" s="65"/>
      <c r="Q16" s="65"/>
      <c r="R16" s="65"/>
      <c r="S16" s="76"/>
      <c r="T16" s="65"/>
      <c r="U16" s="70"/>
      <c r="V16" s="70"/>
    </row>
    <row r="17" spans="2:22" ht="18.75" x14ac:dyDescent="0.3">
      <c r="B17" s="22">
        <v>44231</v>
      </c>
      <c r="C17" s="21" t="s">
        <v>150</v>
      </c>
      <c r="D17" s="34"/>
      <c r="E17" s="18"/>
      <c r="F17" s="18"/>
      <c r="G17" s="18"/>
      <c r="H17" s="23">
        <v>80</v>
      </c>
      <c r="I17" s="19"/>
      <c r="J17" s="20">
        <f t="shared" si="0"/>
        <v>0</v>
      </c>
      <c r="K17" s="20">
        <f t="shared" si="1"/>
        <v>180542.58</v>
      </c>
      <c r="M17" s="67"/>
      <c r="N17" s="71"/>
      <c r="O17" s="69"/>
      <c r="P17" s="65"/>
      <c r="Q17" s="65"/>
      <c r="R17" s="65"/>
      <c r="S17" s="76"/>
      <c r="T17" s="65"/>
      <c r="U17" s="70"/>
      <c r="V17" s="70"/>
    </row>
    <row r="18" spans="2:22" ht="18.75" x14ac:dyDescent="0.3">
      <c r="B18" s="22">
        <v>44231</v>
      </c>
      <c r="C18" s="21" t="s">
        <v>145</v>
      </c>
      <c r="D18" s="34"/>
      <c r="E18" s="18"/>
      <c r="F18" s="18"/>
      <c r="G18" s="18"/>
      <c r="H18" s="23">
        <v>450</v>
      </c>
      <c r="I18" s="19"/>
      <c r="J18" s="20">
        <f t="shared" si="0"/>
        <v>0</v>
      </c>
      <c r="K18" s="20">
        <f t="shared" si="1"/>
        <v>180092.58</v>
      </c>
      <c r="M18" s="67"/>
      <c r="N18" s="71"/>
      <c r="O18" s="69"/>
      <c r="P18" s="65"/>
      <c r="Q18" s="65"/>
      <c r="R18" s="65"/>
      <c r="S18" s="76"/>
      <c r="T18" s="65"/>
      <c r="U18" s="70"/>
      <c r="V18" s="70"/>
    </row>
    <row r="19" spans="2:22" ht="18.75" x14ac:dyDescent="0.3">
      <c r="B19" s="22">
        <v>44232</v>
      </c>
      <c r="C19" s="21" t="s">
        <v>151</v>
      </c>
      <c r="D19" s="34"/>
      <c r="E19" s="18"/>
      <c r="F19" s="18"/>
      <c r="G19" s="18"/>
      <c r="H19" s="23">
        <v>151</v>
      </c>
      <c r="I19" s="19"/>
      <c r="J19" s="20">
        <f t="shared" si="0"/>
        <v>0</v>
      </c>
      <c r="K19" s="20">
        <f t="shared" si="1"/>
        <v>179941.58</v>
      </c>
      <c r="M19" s="67"/>
      <c r="N19" s="71"/>
      <c r="O19" s="69"/>
      <c r="P19" s="65"/>
      <c r="Q19" s="65"/>
      <c r="R19" s="65"/>
      <c r="S19" s="76"/>
      <c r="T19" s="65"/>
      <c r="U19" s="70"/>
      <c r="V19" s="70"/>
    </row>
    <row r="20" spans="2:22" ht="18.75" x14ac:dyDescent="0.3">
      <c r="B20" s="22">
        <v>44233</v>
      </c>
      <c r="C20" s="21" t="s">
        <v>152</v>
      </c>
      <c r="D20" s="34"/>
      <c r="E20" s="18"/>
      <c r="F20" s="18"/>
      <c r="G20" s="18"/>
      <c r="H20" s="23">
        <v>38.5</v>
      </c>
      <c r="I20" s="19"/>
      <c r="J20" s="20">
        <f t="shared" si="0"/>
        <v>0</v>
      </c>
      <c r="K20" s="20">
        <f t="shared" si="1"/>
        <v>179903.08</v>
      </c>
      <c r="M20" s="67"/>
      <c r="N20" s="71"/>
      <c r="O20" s="69"/>
      <c r="P20" s="65"/>
      <c r="Q20" s="65"/>
      <c r="R20" s="65"/>
      <c r="S20" s="76"/>
      <c r="T20" s="65"/>
      <c r="U20" s="70"/>
      <c r="V20" s="70"/>
    </row>
    <row r="21" spans="2:22" ht="18.75" x14ac:dyDescent="0.3">
      <c r="B21" s="22">
        <v>44234</v>
      </c>
      <c r="C21" s="21" t="s">
        <v>42</v>
      </c>
      <c r="D21" s="34"/>
      <c r="E21" s="18"/>
      <c r="F21" s="18"/>
      <c r="G21" s="18"/>
      <c r="H21" s="23">
        <v>100</v>
      </c>
      <c r="I21" s="19"/>
      <c r="J21" s="20">
        <f t="shared" si="0"/>
        <v>0</v>
      </c>
      <c r="K21" s="20">
        <f t="shared" si="1"/>
        <v>179803.08</v>
      </c>
      <c r="M21" s="67"/>
      <c r="N21" s="71"/>
      <c r="O21" s="69"/>
      <c r="P21" s="65"/>
      <c r="Q21" s="65"/>
      <c r="R21" s="65"/>
      <c r="S21" s="76"/>
      <c r="T21" s="65"/>
      <c r="U21" s="70"/>
      <c r="V21" s="70"/>
    </row>
    <row r="22" spans="2:22" ht="18.75" x14ac:dyDescent="0.3">
      <c r="B22" s="22">
        <v>44234</v>
      </c>
      <c r="C22" s="21" t="s">
        <v>153</v>
      </c>
      <c r="D22" s="34"/>
      <c r="E22" s="18"/>
      <c r="F22" s="18"/>
      <c r="G22" s="18"/>
      <c r="H22" s="18">
        <v>200</v>
      </c>
      <c r="I22" s="19"/>
      <c r="J22" s="20">
        <f t="shared" si="0"/>
        <v>0</v>
      </c>
      <c r="K22" s="20">
        <f t="shared" si="1"/>
        <v>179603.08</v>
      </c>
      <c r="M22" s="67"/>
      <c r="N22" s="71"/>
      <c r="O22" s="69"/>
      <c r="P22" s="65"/>
      <c r="Q22" s="65"/>
      <c r="R22" s="65"/>
      <c r="S22" s="65"/>
      <c r="T22" s="65"/>
      <c r="U22" s="70"/>
      <c r="V22" s="70"/>
    </row>
    <row r="23" spans="2:22" ht="18.75" x14ac:dyDescent="0.3">
      <c r="B23" s="22">
        <v>44235</v>
      </c>
      <c r="C23" s="21" t="s">
        <v>43</v>
      </c>
      <c r="D23" s="34">
        <v>51650</v>
      </c>
      <c r="E23" s="18"/>
      <c r="F23" s="18"/>
      <c r="G23" s="18"/>
      <c r="H23" s="18"/>
      <c r="I23" s="19"/>
      <c r="J23" s="20">
        <f t="shared" si="0"/>
        <v>0</v>
      </c>
      <c r="K23" s="20">
        <f t="shared" si="1"/>
        <v>231253.08</v>
      </c>
      <c r="M23" s="67"/>
      <c r="N23" s="71"/>
      <c r="O23" s="69"/>
      <c r="P23" s="65"/>
      <c r="Q23" s="65"/>
      <c r="R23" s="65"/>
      <c r="S23" s="65"/>
      <c r="T23" s="65"/>
      <c r="U23" s="70"/>
      <c r="V23" s="70"/>
    </row>
    <row r="24" spans="2:22" ht="18.75" x14ac:dyDescent="0.3">
      <c r="B24" s="22">
        <v>44235</v>
      </c>
      <c r="C24" s="21" t="s">
        <v>144</v>
      </c>
      <c r="D24" s="34"/>
      <c r="E24" s="18"/>
      <c r="F24" s="18"/>
      <c r="G24" s="18"/>
      <c r="H24" s="18">
        <v>82</v>
      </c>
      <c r="I24" s="19"/>
      <c r="J24" s="20">
        <f t="shared" si="0"/>
        <v>0</v>
      </c>
      <c r="K24" s="20">
        <f t="shared" si="1"/>
        <v>231171.08</v>
      </c>
      <c r="M24" s="67"/>
      <c r="N24" s="71"/>
      <c r="O24" s="69"/>
      <c r="P24" s="69"/>
      <c r="Q24" s="65"/>
      <c r="R24" s="65"/>
      <c r="S24" s="65"/>
      <c r="T24" s="65"/>
      <c r="U24" s="70"/>
      <c r="V24" s="70"/>
    </row>
    <row r="25" spans="2:22" ht="18.75" x14ac:dyDescent="0.3">
      <c r="B25" s="22">
        <v>44235</v>
      </c>
      <c r="C25" s="21" t="s">
        <v>154</v>
      </c>
      <c r="D25" s="34"/>
      <c r="E25" s="34"/>
      <c r="F25" s="18"/>
      <c r="G25" s="18"/>
      <c r="H25" s="18">
        <v>150</v>
      </c>
      <c r="I25" s="19"/>
      <c r="J25" s="20">
        <f t="shared" si="0"/>
        <v>0</v>
      </c>
      <c r="K25" s="20">
        <f t="shared" si="1"/>
        <v>231021.08</v>
      </c>
      <c r="M25" s="67"/>
      <c r="N25" s="71"/>
      <c r="O25" s="69"/>
      <c r="P25" s="69"/>
      <c r="Q25" s="65"/>
      <c r="R25" s="65"/>
      <c r="S25" s="65"/>
      <c r="T25" s="65"/>
      <c r="U25" s="70"/>
      <c r="V25" s="70"/>
    </row>
    <row r="26" spans="2:22" ht="18.75" x14ac:dyDescent="0.3">
      <c r="B26" s="22">
        <v>44235</v>
      </c>
      <c r="C26" s="21" t="s">
        <v>155</v>
      </c>
      <c r="D26" s="34"/>
      <c r="E26" s="34"/>
      <c r="F26" s="18"/>
      <c r="G26" s="18"/>
      <c r="H26" s="18">
        <v>278</v>
      </c>
      <c r="I26" s="19"/>
      <c r="J26" s="20">
        <f t="shared" si="0"/>
        <v>0</v>
      </c>
      <c r="K26" s="20">
        <f t="shared" si="1"/>
        <v>230743.08</v>
      </c>
      <c r="M26" s="74"/>
      <c r="N26" s="71"/>
      <c r="O26" s="69"/>
      <c r="P26" s="69"/>
      <c r="Q26" s="65"/>
      <c r="R26" s="65"/>
      <c r="S26" s="65"/>
      <c r="T26" s="65"/>
      <c r="U26" s="70"/>
      <c r="V26" s="70"/>
    </row>
    <row r="27" spans="2:22" ht="18.75" x14ac:dyDescent="0.3">
      <c r="B27" s="42">
        <v>44235</v>
      </c>
      <c r="C27" s="21" t="s">
        <v>157</v>
      </c>
      <c r="D27" s="34"/>
      <c r="E27" s="34"/>
      <c r="F27" s="18"/>
      <c r="G27" s="18"/>
      <c r="H27" s="18">
        <v>300</v>
      </c>
      <c r="I27" s="19"/>
      <c r="J27" s="20">
        <f t="shared" si="0"/>
        <v>0</v>
      </c>
      <c r="K27" s="20">
        <f t="shared" si="1"/>
        <v>230443.08</v>
      </c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2:22" ht="18.75" x14ac:dyDescent="0.3">
      <c r="B28" s="46">
        <v>44236</v>
      </c>
      <c r="C28" s="21" t="s">
        <v>156</v>
      </c>
      <c r="D28" s="34"/>
      <c r="E28" s="34"/>
      <c r="F28" s="34"/>
      <c r="G28" s="18"/>
      <c r="H28" s="18">
        <v>199</v>
      </c>
      <c r="I28" s="19"/>
      <c r="J28" s="20">
        <f t="shared" si="0"/>
        <v>0</v>
      </c>
      <c r="K28" s="20">
        <f t="shared" si="1"/>
        <v>230244.08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2:22" ht="18.75" x14ac:dyDescent="0.3">
      <c r="B29" s="44">
        <v>44236</v>
      </c>
      <c r="C29" s="43" t="s">
        <v>163</v>
      </c>
      <c r="D29" s="34"/>
      <c r="E29" s="34"/>
      <c r="F29" s="34"/>
      <c r="G29" s="34"/>
      <c r="H29" s="18">
        <v>400</v>
      </c>
      <c r="I29" s="19"/>
      <c r="J29" s="20">
        <f t="shared" si="0"/>
        <v>0</v>
      </c>
      <c r="K29" s="20">
        <f t="shared" si="1"/>
        <v>229844.08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2:22" ht="18.75" x14ac:dyDescent="0.3">
      <c r="B30" s="44">
        <v>44237</v>
      </c>
      <c r="C30" s="43" t="s">
        <v>159</v>
      </c>
      <c r="D30" s="34"/>
      <c r="E30" s="34"/>
      <c r="F30" s="34"/>
      <c r="G30" s="34"/>
      <c r="H30" s="18">
        <v>395</v>
      </c>
      <c r="I30" s="19"/>
      <c r="J30" s="20">
        <f t="shared" si="0"/>
        <v>0</v>
      </c>
      <c r="K30" s="20">
        <f t="shared" si="1"/>
        <v>229449.08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2:22" ht="18.75" x14ac:dyDescent="0.3">
      <c r="B31" s="42">
        <v>44237</v>
      </c>
      <c r="C31" s="43" t="s">
        <v>160</v>
      </c>
      <c r="D31" s="34"/>
      <c r="E31" s="18"/>
      <c r="F31" s="18"/>
      <c r="G31" s="18"/>
      <c r="H31" s="18">
        <v>36</v>
      </c>
      <c r="I31" s="19"/>
      <c r="J31" s="20">
        <f t="shared" si="0"/>
        <v>0</v>
      </c>
      <c r="K31" s="20">
        <f t="shared" si="1"/>
        <v>229413.08</v>
      </c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2:22" ht="18.75" x14ac:dyDescent="0.3">
      <c r="B32" s="44">
        <v>44237</v>
      </c>
      <c r="C32" s="43" t="s">
        <v>448</v>
      </c>
      <c r="D32" s="34"/>
      <c r="E32" s="34"/>
      <c r="F32" s="34"/>
      <c r="G32" s="34"/>
      <c r="H32" s="18">
        <v>3000</v>
      </c>
      <c r="I32" s="19"/>
      <c r="J32" s="20">
        <f t="shared" si="0"/>
        <v>0</v>
      </c>
      <c r="K32" s="20">
        <f t="shared" si="1"/>
        <v>226413.08</v>
      </c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2:22" ht="18.75" x14ac:dyDescent="0.3">
      <c r="B33" s="42">
        <v>44237</v>
      </c>
      <c r="C33" s="33" t="s">
        <v>161</v>
      </c>
      <c r="D33" s="34"/>
      <c r="E33" s="18"/>
      <c r="F33" s="18"/>
      <c r="G33" s="18"/>
      <c r="H33" s="18">
        <v>2000</v>
      </c>
      <c r="I33" s="19"/>
      <c r="J33" s="20">
        <f t="shared" si="0"/>
        <v>0</v>
      </c>
      <c r="K33" s="20">
        <f t="shared" si="1"/>
        <v>224413.08</v>
      </c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2:22" ht="18.75" x14ac:dyDescent="0.3">
      <c r="B34" s="42">
        <v>44237</v>
      </c>
      <c r="C34" s="33" t="s">
        <v>106</v>
      </c>
      <c r="D34" s="34"/>
      <c r="E34" s="18"/>
      <c r="F34" s="18"/>
      <c r="G34" s="18"/>
      <c r="H34" s="18">
        <v>600</v>
      </c>
      <c r="I34" s="19"/>
      <c r="J34" s="20">
        <f t="shared" si="0"/>
        <v>0</v>
      </c>
      <c r="K34" s="20">
        <f t="shared" si="1"/>
        <v>223813.08</v>
      </c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2:22" ht="18.75" x14ac:dyDescent="0.3">
      <c r="B35" s="49">
        <v>44238</v>
      </c>
      <c r="C35" s="51" t="s">
        <v>162</v>
      </c>
      <c r="D35" s="34"/>
      <c r="E35" s="18"/>
      <c r="F35" s="18"/>
      <c r="G35" s="18"/>
      <c r="H35" s="18">
        <v>286</v>
      </c>
      <c r="I35" s="19"/>
      <c r="J35" s="20">
        <f t="shared" si="0"/>
        <v>0</v>
      </c>
      <c r="K35" s="20">
        <f t="shared" si="1"/>
        <v>223527.08</v>
      </c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2:22" ht="18.75" x14ac:dyDescent="0.3">
      <c r="B36" s="42">
        <v>44239</v>
      </c>
      <c r="C36" s="33" t="s">
        <v>163</v>
      </c>
      <c r="D36" s="34"/>
      <c r="E36" s="18"/>
      <c r="F36" s="18"/>
      <c r="G36" s="18"/>
      <c r="H36" s="18">
        <v>550</v>
      </c>
      <c r="I36" s="19"/>
      <c r="J36" s="20">
        <f t="shared" si="0"/>
        <v>0</v>
      </c>
      <c r="K36" s="20">
        <f t="shared" si="1"/>
        <v>222977.08</v>
      </c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2:22" ht="18.75" x14ac:dyDescent="0.3">
      <c r="B37" s="57">
        <v>44240</v>
      </c>
      <c r="C37" s="43" t="s">
        <v>164</v>
      </c>
      <c r="D37" s="34"/>
      <c r="E37" s="18"/>
      <c r="F37" s="18"/>
      <c r="G37" s="18"/>
      <c r="H37" s="18">
        <v>790</v>
      </c>
      <c r="I37" s="19"/>
      <c r="J37" s="20">
        <f t="shared" si="0"/>
        <v>0</v>
      </c>
      <c r="K37" s="20">
        <f t="shared" si="1"/>
        <v>222187.08</v>
      </c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2:22" ht="18.75" x14ac:dyDescent="0.3">
      <c r="B38" s="42">
        <v>44240</v>
      </c>
      <c r="C38" s="56" t="s">
        <v>165</v>
      </c>
      <c r="D38" s="34"/>
      <c r="E38" s="18"/>
      <c r="F38" s="18"/>
      <c r="G38" s="18"/>
      <c r="H38" s="18">
        <v>416.21</v>
      </c>
      <c r="I38" s="19"/>
      <c r="J38" s="20">
        <f t="shared" si="0"/>
        <v>0</v>
      </c>
      <c r="K38" s="20">
        <f t="shared" si="1"/>
        <v>221770.87</v>
      </c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2:22" ht="18.75" x14ac:dyDescent="0.3">
      <c r="B39" s="47">
        <v>44241</v>
      </c>
      <c r="C39" s="33" t="s">
        <v>166</v>
      </c>
      <c r="D39" s="34"/>
      <c r="E39" s="18"/>
      <c r="F39" s="18"/>
      <c r="G39" s="18"/>
      <c r="H39" s="18">
        <v>400</v>
      </c>
      <c r="I39" s="19"/>
      <c r="J39" s="20">
        <f t="shared" si="0"/>
        <v>0</v>
      </c>
      <c r="K39" s="20">
        <f t="shared" si="1"/>
        <v>221370.87</v>
      </c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2:22" ht="18.75" x14ac:dyDescent="0.3">
      <c r="B40" s="42">
        <v>44210</v>
      </c>
      <c r="C40" s="33" t="s">
        <v>167</v>
      </c>
      <c r="D40" s="34"/>
      <c r="E40" s="18"/>
      <c r="F40" s="18"/>
      <c r="G40" s="18"/>
      <c r="H40" s="18">
        <v>100</v>
      </c>
      <c r="I40" s="19"/>
      <c r="J40" s="20">
        <f t="shared" si="0"/>
        <v>0</v>
      </c>
      <c r="K40" s="20">
        <f t="shared" si="1"/>
        <v>221270.87</v>
      </c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2:22" ht="18.75" x14ac:dyDescent="0.3">
      <c r="B41" s="45">
        <v>44210</v>
      </c>
      <c r="C41" s="32" t="s">
        <v>168</v>
      </c>
      <c r="D41" s="34"/>
      <c r="E41" s="18"/>
      <c r="F41" s="18"/>
      <c r="G41" s="18"/>
      <c r="H41" s="18">
        <v>100</v>
      </c>
      <c r="I41" s="19"/>
      <c r="J41" s="20">
        <f t="shared" si="0"/>
        <v>0</v>
      </c>
      <c r="K41" s="20">
        <f t="shared" si="1"/>
        <v>221170.87</v>
      </c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2:22" ht="18.75" x14ac:dyDescent="0.3">
      <c r="B42" s="44">
        <v>44210</v>
      </c>
      <c r="C42" s="33" t="s">
        <v>169</v>
      </c>
      <c r="D42" s="34"/>
      <c r="E42" s="18"/>
      <c r="F42" s="18"/>
      <c r="G42" s="18"/>
      <c r="H42" s="18">
        <v>200</v>
      </c>
      <c r="I42" s="19"/>
      <c r="J42" s="20">
        <f t="shared" si="0"/>
        <v>0</v>
      </c>
      <c r="K42" s="20">
        <f t="shared" si="1"/>
        <v>220970.87</v>
      </c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2:22" ht="18.75" x14ac:dyDescent="0.3">
      <c r="B43" s="42">
        <v>44210</v>
      </c>
      <c r="C43" s="33" t="s">
        <v>158</v>
      </c>
      <c r="D43" s="34">
        <v>35800</v>
      </c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256770.87</v>
      </c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2:22" ht="18.75" x14ac:dyDescent="0.3">
      <c r="B44" s="46">
        <v>44242</v>
      </c>
      <c r="C44" s="33" t="s">
        <v>170</v>
      </c>
      <c r="D44" s="34"/>
      <c r="E44" s="18"/>
      <c r="F44" s="18"/>
      <c r="G44" s="18"/>
      <c r="H44" s="18">
        <v>250</v>
      </c>
      <c r="I44" s="19"/>
      <c r="J44" s="20">
        <f t="shared" si="0"/>
        <v>0</v>
      </c>
      <c r="K44" s="20">
        <f t="shared" si="1"/>
        <v>256520.87</v>
      </c>
    </row>
    <row r="45" spans="2:22" ht="18.75" x14ac:dyDescent="0.3">
      <c r="B45" s="44">
        <v>44242</v>
      </c>
      <c r="C45" s="33" t="s">
        <v>171</v>
      </c>
      <c r="D45" s="34"/>
      <c r="E45" s="18"/>
      <c r="F45" s="18"/>
      <c r="G45" s="18"/>
      <c r="H45" s="18">
        <v>300</v>
      </c>
      <c r="I45" s="19"/>
      <c r="J45" s="20">
        <f t="shared" si="0"/>
        <v>0</v>
      </c>
      <c r="K45" s="20">
        <f t="shared" si="1"/>
        <v>256220.87</v>
      </c>
    </row>
    <row r="46" spans="2:22" ht="19.5" thickBot="1" x14ac:dyDescent="0.35">
      <c r="B46" s="46">
        <v>44242</v>
      </c>
      <c r="C46" s="33" t="s">
        <v>172</v>
      </c>
      <c r="D46" s="34"/>
      <c r="E46" s="18"/>
      <c r="F46" s="18"/>
      <c r="G46" s="18"/>
      <c r="H46" s="18">
        <v>650</v>
      </c>
      <c r="I46" s="19"/>
      <c r="J46" s="20">
        <f t="shared" si="0"/>
        <v>0</v>
      </c>
      <c r="K46" s="20">
        <f t="shared" si="1"/>
        <v>255570.87</v>
      </c>
    </row>
    <row r="47" spans="2:22" ht="19.5" thickBot="1" x14ac:dyDescent="0.35">
      <c r="B47" s="25"/>
      <c r="C47" s="26" t="s">
        <v>0</v>
      </c>
      <c r="D47" s="27">
        <f>SUM(D4:D46)</f>
        <v>112650</v>
      </c>
      <c r="E47" s="27">
        <f>SUM(E4:E46)</f>
        <v>0</v>
      </c>
      <c r="F47" s="29">
        <f>SUM(D47:E47)</f>
        <v>112650</v>
      </c>
      <c r="G47" s="30">
        <f>SUM(G4:G46)</f>
        <v>0</v>
      </c>
      <c r="H47" s="27">
        <f>SUM(H4:H46)</f>
        <v>16424.71</v>
      </c>
      <c r="I47" s="29">
        <f>SUM(G47:H47)</f>
        <v>16424.71</v>
      </c>
      <c r="J47" s="20"/>
      <c r="K47" s="20"/>
    </row>
    <row r="48" spans="2:22" ht="19.5" thickBot="1" x14ac:dyDescent="0.35">
      <c r="B48" s="78"/>
      <c r="C48" s="79"/>
      <c r="D48" s="80"/>
      <c r="E48" s="80"/>
      <c r="F48" s="81"/>
      <c r="G48" s="82"/>
      <c r="H48" s="80"/>
      <c r="I48" s="81"/>
      <c r="J48" s="70"/>
      <c r="K48" s="7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112650</v>
      </c>
      <c r="E51" s="28">
        <v>0</v>
      </c>
      <c r="F51" s="29">
        <f>SUM(D51:E51)</f>
        <v>112650</v>
      </c>
      <c r="G51" s="30">
        <v>0</v>
      </c>
      <c r="H51" s="27">
        <v>16424.71</v>
      </c>
      <c r="I51" s="29">
        <f>SUM(G51:H51)</f>
        <v>16424.71</v>
      </c>
      <c r="J51" s="53">
        <v>0</v>
      </c>
      <c r="K51" s="53">
        <v>255570.87</v>
      </c>
    </row>
    <row r="52" spans="2:11" ht="18.75" x14ac:dyDescent="0.3">
      <c r="B52" s="44">
        <v>44242</v>
      </c>
      <c r="C52" s="33" t="s">
        <v>144</v>
      </c>
      <c r="D52" s="34"/>
      <c r="E52" s="18"/>
      <c r="F52" s="18"/>
      <c r="G52" s="18"/>
      <c r="H52" s="18">
        <v>82</v>
      </c>
      <c r="I52" s="19"/>
      <c r="J52" s="20">
        <f t="shared" ref="J52" si="2">+J51+E52-G52</f>
        <v>0</v>
      </c>
      <c r="K52" s="20">
        <f>+K51+D52-H52</f>
        <v>255488.87</v>
      </c>
    </row>
    <row r="53" spans="2:11" ht="18.75" x14ac:dyDescent="0.3">
      <c r="B53" s="42">
        <v>44242</v>
      </c>
      <c r="C53" s="33" t="s">
        <v>174</v>
      </c>
      <c r="D53" s="34"/>
      <c r="E53" s="18"/>
      <c r="F53" s="18"/>
      <c r="G53" s="18"/>
      <c r="H53" s="18">
        <v>300</v>
      </c>
      <c r="I53" s="19"/>
      <c r="J53" s="20">
        <f t="shared" ref="J53:J94" si="3">+J52+E53-G53</f>
        <v>0</v>
      </c>
      <c r="K53" s="20">
        <f t="shared" ref="K53:K94" si="4">+K52+D53-H53</f>
        <v>255188.87</v>
      </c>
    </row>
    <row r="54" spans="2:11" ht="18.75" x14ac:dyDescent="0.3">
      <c r="B54" s="42">
        <v>44242</v>
      </c>
      <c r="C54" s="17" t="s">
        <v>175</v>
      </c>
      <c r="D54" s="34"/>
      <c r="E54" s="18"/>
      <c r="F54" s="18"/>
      <c r="G54" s="18"/>
      <c r="H54" s="18">
        <v>33</v>
      </c>
      <c r="I54" s="19"/>
      <c r="J54" s="20">
        <f t="shared" si="3"/>
        <v>0</v>
      </c>
      <c r="K54" s="20">
        <f t="shared" si="4"/>
        <v>255155.87</v>
      </c>
    </row>
    <row r="55" spans="2:11" ht="18.75" x14ac:dyDescent="0.3">
      <c r="B55" s="22">
        <v>44242</v>
      </c>
      <c r="C55" s="21" t="s">
        <v>175</v>
      </c>
      <c r="D55" s="34"/>
      <c r="E55" s="18"/>
      <c r="F55" s="18"/>
      <c r="G55" s="18"/>
      <c r="H55" s="18">
        <v>39</v>
      </c>
      <c r="I55" s="19"/>
      <c r="J55" s="20">
        <f t="shared" si="3"/>
        <v>0</v>
      </c>
      <c r="K55" s="20">
        <f t="shared" si="4"/>
        <v>255116.87</v>
      </c>
    </row>
    <row r="56" spans="2:11" ht="18.75" x14ac:dyDescent="0.3">
      <c r="B56" s="42">
        <v>44242</v>
      </c>
      <c r="C56" s="33" t="s">
        <v>150</v>
      </c>
      <c r="D56" s="34"/>
      <c r="E56" s="34"/>
      <c r="F56" s="34"/>
      <c r="G56" s="34"/>
      <c r="H56" s="18">
        <v>80</v>
      </c>
      <c r="I56" s="19"/>
      <c r="J56" s="20">
        <f t="shared" si="3"/>
        <v>0</v>
      </c>
      <c r="K56" s="20">
        <f t="shared" si="4"/>
        <v>255036.87</v>
      </c>
    </row>
    <row r="57" spans="2:11" ht="18.75" x14ac:dyDescent="0.3">
      <c r="B57" s="47">
        <v>44242</v>
      </c>
      <c r="C57" s="54" t="s">
        <v>187</v>
      </c>
      <c r="D57" s="34"/>
      <c r="E57" s="34"/>
      <c r="F57" s="34"/>
      <c r="G57" s="18"/>
      <c r="H57" s="18">
        <v>300</v>
      </c>
      <c r="I57" s="19"/>
      <c r="J57" s="20">
        <f t="shared" si="3"/>
        <v>0</v>
      </c>
      <c r="K57" s="20">
        <f t="shared" si="4"/>
        <v>254736.87</v>
      </c>
    </row>
    <row r="58" spans="2:11" ht="18.75" x14ac:dyDescent="0.3">
      <c r="B58" s="47">
        <v>44242</v>
      </c>
      <c r="C58" s="54" t="s">
        <v>86</v>
      </c>
      <c r="D58" s="34"/>
      <c r="E58" s="34"/>
      <c r="F58" s="34"/>
      <c r="G58" s="18"/>
      <c r="H58" s="18">
        <v>3000</v>
      </c>
      <c r="I58" s="19"/>
      <c r="J58" s="20">
        <f t="shared" si="3"/>
        <v>0</v>
      </c>
      <c r="K58" s="20">
        <f t="shared" si="4"/>
        <v>251736.87</v>
      </c>
    </row>
    <row r="59" spans="2:11" ht="18.75" x14ac:dyDescent="0.3">
      <c r="B59" s="47">
        <v>44242</v>
      </c>
      <c r="C59" s="43" t="s">
        <v>79</v>
      </c>
      <c r="D59" s="34"/>
      <c r="E59" s="34"/>
      <c r="F59" s="34"/>
      <c r="G59" s="34"/>
      <c r="H59" s="18">
        <v>3000</v>
      </c>
      <c r="I59" s="19"/>
      <c r="J59" s="20">
        <f t="shared" si="3"/>
        <v>0</v>
      </c>
      <c r="K59" s="20">
        <f t="shared" si="4"/>
        <v>248736.87</v>
      </c>
    </row>
    <row r="60" spans="2:11" ht="18.75" x14ac:dyDescent="0.3">
      <c r="B60" s="47">
        <v>44242</v>
      </c>
      <c r="C60" s="21" t="s">
        <v>177</v>
      </c>
      <c r="D60" s="34"/>
      <c r="E60" s="34"/>
      <c r="F60" s="34"/>
      <c r="G60" s="34"/>
      <c r="H60" s="18">
        <v>3400</v>
      </c>
      <c r="I60" s="19"/>
      <c r="J60" s="20">
        <f t="shared" si="3"/>
        <v>0</v>
      </c>
      <c r="K60" s="20">
        <f t="shared" si="4"/>
        <v>245336.87</v>
      </c>
    </row>
    <row r="61" spans="2:11" ht="18.75" x14ac:dyDescent="0.3">
      <c r="B61" s="47">
        <v>44242</v>
      </c>
      <c r="C61" s="54" t="s">
        <v>81</v>
      </c>
      <c r="D61" s="34"/>
      <c r="E61" s="34"/>
      <c r="F61" s="34"/>
      <c r="G61" s="34"/>
      <c r="H61" s="18">
        <v>5000</v>
      </c>
      <c r="I61" s="19"/>
      <c r="J61" s="20">
        <f t="shared" si="3"/>
        <v>0</v>
      </c>
      <c r="K61" s="20">
        <f t="shared" si="4"/>
        <v>240336.87</v>
      </c>
    </row>
    <row r="62" spans="2:11" ht="18.75" x14ac:dyDescent="0.3">
      <c r="B62" s="22">
        <v>44242</v>
      </c>
      <c r="C62" s="43" t="s">
        <v>448</v>
      </c>
      <c r="D62" s="18"/>
      <c r="E62" s="18"/>
      <c r="F62" s="18"/>
      <c r="G62" s="18"/>
      <c r="H62" s="18">
        <v>6000</v>
      </c>
      <c r="I62" s="19"/>
      <c r="J62" s="20">
        <f t="shared" si="3"/>
        <v>0</v>
      </c>
      <c r="K62" s="20">
        <f t="shared" si="4"/>
        <v>234336.87</v>
      </c>
    </row>
    <row r="63" spans="2:11" ht="18.75" x14ac:dyDescent="0.3">
      <c r="B63" s="42">
        <v>44242</v>
      </c>
      <c r="C63" s="43" t="s">
        <v>83</v>
      </c>
      <c r="D63" s="18"/>
      <c r="E63" s="18"/>
      <c r="F63" s="18"/>
      <c r="G63" s="18"/>
      <c r="H63" s="18">
        <v>29250</v>
      </c>
      <c r="I63" s="19"/>
      <c r="J63" s="20">
        <f t="shared" si="3"/>
        <v>0</v>
      </c>
      <c r="K63" s="20">
        <f t="shared" si="4"/>
        <v>205086.87</v>
      </c>
    </row>
    <row r="64" spans="2:11" ht="18.75" x14ac:dyDescent="0.3">
      <c r="B64" s="44">
        <v>44242</v>
      </c>
      <c r="C64" s="43" t="s">
        <v>84</v>
      </c>
      <c r="D64" s="34"/>
      <c r="E64" s="18"/>
      <c r="F64" s="18"/>
      <c r="G64" s="18"/>
      <c r="H64" s="18">
        <v>5650</v>
      </c>
      <c r="I64" s="19"/>
      <c r="J64" s="20">
        <f t="shared" si="3"/>
        <v>0</v>
      </c>
      <c r="K64" s="20">
        <f t="shared" si="4"/>
        <v>199436.87</v>
      </c>
    </row>
    <row r="65" spans="2:11" ht="18.75" x14ac:dyDescent="0.3">
      <c r="B65" s="42">
        <v>44243</v>
      </c>
      <c r="C65" s="54" t="s">
        <v>179</v>
      </c>
      <c r="D65" s="34"/>
      <c r="E65" s="18"/>
      <c r="F65" s="18"/>
      <c r="G65" s="18"/>
      <c r="H65" s="18">
        <v>264.27</v>
      </c>
      <c r="I65" s="19"/>
      <c r="J65" s="20">
        <f t="shared" si="3"/>
        <v>0</v>
      </c>
      <c r="K65" s="20">
        <f t="shared" si="4"/>
        <v>199172.6</v>
      </c>
    </row>
    <row r="66" spans="2:11" ht="18.75" x14ac:dyDescent="0.3">
      <c r="B66" s="44">
        <v>44243</v>
      </c>
      <c r="C66" s="54" t="s">
        <v>178</v>
      </c>
      <c r="D66" s="34"/>
      <c r="E66" s="18"/>
      <c r="F66" s="18"/>
      <c r="G66" s="18"/>
      <c r="H66" s="18">
        <v>500</v>
      </c>
      <c r="I66" s="19"/>
      <c r="J66" s="20">
        <f t="shared" si="3"/>
        <v>0</v>
      </c>
      <c r="K66" s="20">
        <f t="shared" si="4"/>
        <v>198672.6</v>
      </c>
    </row>
    <row r="67" spans="2:11" ht="18.75" x14ac:dyDescent="0.3">
      <c r="B67" s="42">
        <v>44243</v>
      </c>
      <c r="C67" s="54" t="s">
        <v>180</v>
      </c>
      <c r="D67" s="34"/>
      <c r="E67" s="18"/>
      <c r="F67" s="18"/>
      <c r="G67" s="18"/>
      <c r="H67" s="18">
        <v>500</v>
      </c>
      <c r="I67" s="19"/>
      <c r="J67" s="20">
        <f t="shared" si="3"/>
        <v>0</v>
      </c>
      <c r="K67" s="20">
        <f t="shared" si="4"/>
        <v>198172.6</v>
      </c>
    </row>
    <row r="68" spans="2:11" ht="18.75" x14ac:dyDescent="0.3">
      <c r="B68" s="42">
        <v>44244</v>
      </c>
      <c r="C68" s="43" t="s">
        <v>189</v>
      </c>
      <c r="D68" s="18"/>
      <c r="E68" s="18"/>
      <c r="F68" s="18"/>
      <c r="G68" s="18"/>
      <c r="H68" s="18">
        <v>61.73</v>
      </c>
      <c r="I68" s="19"/>
      <c r="J68" s="20">
        <f t="shared" si="3"/>
        <v>0</v>
      </c>
      <c r="K68" s="20">
        <f t="shared" si="4"/>
        <v>198110.87</v>
      </c>
    </row>
    <row r="69" spans="2:11" ht="18.75" x14ac:dyDescent="0.3">
      <c r="B69" s="42">
        <v>44244</v>
      </c>
      <c r="C69" s="43" t="s">
        <v>190</v>
      </c>
      <c r="D69" s="18"/>
      <c r="E69" s="18"/>
      <c r="F69" s="18"/>
      <c r="G69" s="18"/>
      <c r="H69" s="18">
        <v>246</v>
      </c>
      <c r="I69" s="19"/>
      <c r="J69" s="20">
        <f t="shared" si="3"/>
        <v>0</v>
      </c>
      <c r="K69" s="20">
        <f t="shared" si="4"/>
        <v>197864.87</v>
      </c>
    </row>
    <row r="70" spans="2:11" ht="18.75" x14ac:dyDescent="0.3">
      <c r="B70" s="42">
        <v>44245</v>
      </c>
      <c r="C70" s="43" t="s">
        <v>191</v>
      </c>
      <c r="D70" s="18"/>
      <c r="E70" s="18"/>
      <c r="F70" s="18"/>
      <c r="G70" s="18"/>
      <c r="H70" s="18">
        <v>500</v>
      </c>
      <c r="I70" s="19"/>
      <c r="J70" s="20">
        <f t="shared" si="3"/>
        <v>0</v>
      </c>
      <c r="K70" s="20">
        <f t="shared" si="4"/>
        <v>197364.87</v>
      </c>
    </row>
    <row r="71" spans="2:11" ht="18.75" x14ac:dyDescent="0.3">
      <c r="B71" s="42">
        <v>44245</v>
      </c>
      <c r="C71" s="43" t="s">
        <v>192</v>
      </c>
      <c r="D71" s="18"/>
      <c r="E71" s="18"/>
      <c r="F71" s="18"/>
      <c r="G71" s="18"/>
      <c r="H71" s="18">
        <v>500</v>
      </c>
      <c r="I71" s="19"/>
      <c r="J71" s="20">
        <f t="shared" si="3"/>
        <v>0</v>
      </c>
      <c r="K71" s="20">
        <f t="shared" si="4"/>
        <v>196864.87</v>
      </c>
    </row>
    <row r="72" spans="2:11" ht="18.75" x14ac:dyDescent="0.3">
      <c r="B72" s="42">
        <v>44246</v>
      </c>
      <c r="C72" s="33" t="s">
        <v>193</v>
      </c>
      <c r="D72" s="18"/>
      <c r="E72" s="18"/>
      <c r="F72" s="18"/>
      <c r="G72" s="18"/>
      <c r="H72" s="18">
        <v>218.28</v>
      </c>
      <c r="I72" s="19"/>
      <c r="J72" s="20">
        <f t="shared" si="3"/>
        <v>0</v>
      </c>
      <c r="K72" s="20">
        <f t="shared" si="4"/>
        <v>196646.59</v>
      </c>
    </row>
    <row r="73" spans="2:11" ht="18.75" x14ac:dyDescent="0.3">
      <c r="B73" s="46">
        <v>44246</v>
      </c>
      <c r="C73" s="43" t="s">
        <v>194</v>
      </c>
      <c r="D73" s="18"/>
      <c r="E73" s="18"/>
      <c r="F73" s="18"/>
      <c r="G73" s="18"/>
      <c r="H73" s="18">
        <v>87</v>
      </c>
      <c r="I73" s="19"/>
      <c r="J73" s="20">
        <f t="shared" si="3"/>
        <v>0</v>
      </c>
      <c r="K73" s="20">
        <f t="shared" si="4"/>
        <v>196559.59</v>
      </c>
    </row>
    <row r="74" spans="2:11" ht="18.75" x14ac:dyDescent="0.3">
      <c r="B74" s="22">
        <v>44246</v>
      </c>
      <c r="C74" s="33" t="s">
        <v>195</v>
      </c>
      <c r="D74" s="18"/>
      <c r="E74" s="18"/>
      <c r="F74" s="18"/>
      <c r="G74" s="18"/>
      <c r="H74" s="18">
        <v>500</v>
      </c>
      <c r="I74" s="19"/>
      <c r="J74" s="20">
        <f t="shared" si="3"/>
        <v>0</v>
      </c>
      <c r="K74" s="20">
        <f t="shared" si="4"/>
        <v>196059.59</v>
      </c>
    </row>
    <row r="75" spans="2:11" ht="18.75" x14ac:dyDescent="0.3">
      <c r="B75" s="22">
        <v>44246</v>
      </c>
      <c r="C75" s="51" t="s">
        <v>196</v>
      </c>
      <c r="D75" s="34"/>
      <c r="E75" s="18"/>
      <c r="F75" s="18"/>
      <c r="G75" s="18"/>
      <c r="H75" s="18">
        <v>400</v>
      </c>
      <c r="I75" s="19"/>
      <c r="J75" s="20">
        <f t="shared" si="3"/>
        <v>0</v>
      </c>
      <c r="K75" s="20">
        <f t="shared" si="4"/>
        <v>195659.59</v>
      </c>
    </row>
    <row r="76" spans="2:11" ht="18.75" x14ac:dyDescent="0.3">
      <c r="B76" s="44">
        <v>44247</v>
      </c>
      <c r="C76" s="51" t="s">
        <v>197</v>
      </c>
      <c r="D76" s="34"/>
      <c r="E76" s="18"/>
      <c r="F76" s="18"/>
      <c r="G76" s="18"/>
      <c r="H76" s="18">
        <v>100</v>
      </c>
      <c r="I76" s="19"/>
      <c r="J76" s="20">
        <f t="shared" si="3"/>
        <v>0</v>
      </c>
      <c r="K76" s="20">
        <f t="shared" si="4"/>
        <v>195559.59</v>
      </c>
    </row>
    <row r="77" spans="2:11" ht="18.75" x14ac:dyDescent="0.3">
      <c r="B77" s="47">
        <v>44247</v>
      </c>
      <c r="C77" s="43" t="s">
        <v>198</v>
      </c>
      <c r="D77" s="34"/>
      <c r="E77" s="18"/>
      <c r="F77" s="18"/>
      <c r="G77" s="18"/>
      <c r="H77" s="18">
        <v>49</v>
      </c>
      <c r="I77" s="19"/>
      <c r="J77" s="20">
        <f t="shared" si="3"/>
        <v>0</v>
      </c>
      <c r="K77" s="20">
        <f t="shared" si="4"/>
        <v>195510.59</v>
      </c>
    </row>
    <row r="78" spans="2:11" ht="18.75" x14ac:dyDescent="0.3">
      <c r="B78" s="47">
        <v>44247</v>
      </c>
      <c r="C78" s="43" t="s">
        <v>199</v>
      </c>
      <c r="D78" s="34"/>
      <c r="E78" s="18"/>
      <c r="F78" s="18"/>
      <c r="G78" s="18"/>
      <c r="H78" s="18">
        <v>500</v>
      </c>
      <c r="I78" s="19"/>
      <c r="J78" s="20">
        <f t="shared" si="3"/>
        <v>0</v>
      </c>
      <c r="K78" s="20">
        <f t="shared" si="4"/>
        <v>195010.59</v>
      </c>
    </row>
    <row r="79" spans="2:11" ht="18.75" x14ac:dyDescent="0.3">
      <c r="B79" s="42">
        <v>44247</v>
      </c>
      <c r="C79" s="43" t="s">
        <v>191</v>
      </c>
      <c r="D79" s="18"/>
      <c r="E79" s="18"/>
      <c r="F79" s="18"/>
      <c r="G79" s="18"/>
      <c r="H79" s="18">
        <v>550</v>
      </c>
      <c r="I79" s="19"/>
      <c r="J79" s="20">
        <f t="shared" si="3"/>
        <v>0</v>
      </c>
      <c r="K79" s="20">
        <f t="shared" si="4"/>
        <v>194460.59</v>
      </c>
    </row>
    <row r="80" spans="2:11" ht="18.75" x14ac:dyDescent="0.3">
      <c r="B80" s="42">
        <v>44248</v>
      </c>
      <c r="C80" s="43" t="s">
        <v>94</v>
      </c>
      <c r="D80" s="18"/>
      <c r="E80" s="18"/>
      <c r="F80" s="18"/>
      <c r="G80" s="18"/>
      <c r="H80" s="18">
        <v>100</v>
      </c>
      <c r="I80" s="19"/>
      <c r="J80" s="20">
        <f t="shared" si="3"/>
        <v>0</v>
      </c>
      <c r="K80" s="20">
        <f t="shared" si="4"/>
        <v>194360.59</v>
      </c>
    </row>
    <row r="81" spans="1:11" ht="18.75" x14ac:dyDescent="0.3">
      <c r="B81" s="42">
        <v>44248</v>
      </c>
      <c r="C81" s="43" t="s">
        <v>181</v>
      </c>
      <c r="D81" s="18"/>
      <c r="E81" s="18"/>
      <c r="F81" s="18"/>
      <c r="G81" s="18"/>
      <c r="H81" s="18">
        <v>200</v>
      </c>
      <c r="I81" s="19"/>
      <c r="J81" s="20">
        <f t="shared" si="3"/>
        <v>0</v>
      </c>
      <c r="K81" s="20">
        <f t="shared" si="4"/>
        <v>194160.59</v>
      </c>
    </row>
    <row r="82" spans="1:11" ht="18.75" x14ac:dyDescent="0.3">
      <c r="B82" s="42">
        <v>44248</v>
      </c>
      <c r="C82" s="33" t="s">
        <v>90</v>
      </c>
      <c r="D82" s="18">
        <v>31200</v>
      </c>
      <c r="E82" s="18"/>
      <c r="F82" s="18"/>
      <c r="G82" s="18"/>
      <c r="H82" s="18"/>
      <c r="I82" s="19"/>
      <c r="J82" s="20">
        <f t="shared" si="3"/>
        <v>0</v>
      </c>
      <c r="K82" s="20">
        <f t="shared" si="4"/>
        <v>225360.59</v>
      </c>
    </row>
    <row r="83" spans="1:11" ht="18.75" x14ac:dyDescent="0.3">
      <c r="B83" s="42">
        <v>44249</v>
      </c>
      <c r="C83" s="33" t="s">
        <v>200</v>
      </c>
      <c r="D83" s="18"/>
      <c r="E83" s="18"/>
      <c r="F83" s="18"/>
      <c r="G83" s="18"/>
      <c r="H83" s="18">
        <v>300</v>
      </c>
      <c r="I83" s="19"/>
      <c r="J83" s="20">
        <f t="shared" si="3"/>
        <v>0</v>
      </c>
      <c r="K83" s="20">
        <f t="shared" si="4"/>
        <v>225060.59</v>
      </c>
    </row>
    <row r="84" spans="1:11" ht="18.75" x14ac:dyDescent="0.3">
      <c r="B84" s="47">
        <v>44249</v>
      </c>
      <c r="C84" s="43" t="s">
        <v>201</v>
      </c>
      <c r="D84" s="34"/>
      <c r="E84" s="18"/>
      <c r="F84" s="18"/>
      <c r="G84" s="18"/>
      <c r="H84" s="18">
        <v>450</v>
      </c>
      <c r="I84" s="19"/>
      <c r="J84" s="20">
        <f t="shared" si="3"/>
        <v>0</v>
      </c>
      <c r="K84" s="20">
        <f t="shared" si="4"/>
        <v>224610.59</v>
      </c>
    </row>
    <row r="85" spans="1:11" ht="18.75" x14ac:dyDescent="0.3">
      <c r="B85" s="47">
        <v>44249</v>
      </c>
      <c r="C85" s="43" t="s">
        <v>199</v>
      </c>
      <c r="D85" s="34"/>
      <c r="E85" s="18"/>
      <c r="F85" s="18"/>
      <c r="G85" s="18"/>
      <c r="H85" s="18">
        <v>400</v>
      </c>
      <c r="I85" s="19"/>
      <c r="J85" s="20">
        <f t="shared" si="3"/>
        <v>0</v>
      </c>
      <c r="K85" s="20">
        <f t="shared" si="4"/>
        <v>224210.59</v>
      </c>
    </row>
    <row r="86" spans="1:11" ht="18.75" x14ac:dyDescent="0.3">
      <c r="B86" s="47">
        <v>44249</v>
      </c>
      <c r="C86" s="43" t="s">
        <v>35</v>
      </c>
      <c r="D86" s="34"/>
      <c r="E86" s="18"/>
      <c r="F86" s="18"/>
      <c r="G86" s="18"/>
      <c r="H86" s="18">
        <v>82</v>
      </c>
      <c r="I86" s="19"/>
      <c r="J86" s="20">
        <f t="shared" si="3"/>
        <v>0</v>
      </c>
      <c r="K86" s="20">
        <f t="shared" si="4"/>
        <v>224128.59</v>
      </c>
    </row>
    <row r="87" spans="1:11" ht="18.75" x14ac:dyDescent="0.3">
      <c r="A87" s="55"/>
      <c r="B87" s="48">
        <v>44249</v>
      </c>
      <c r="C87" s="21" t="s">
        <v>202</v>
      </c>
      <c r="D87" s="34"/>
      <c r="E87" s="18"/>
      <c r="F87" s="18"/>
      <c r="G87" s="18"/>
      <c r="H87" s="18">
        <v>421.7</v>
      </c>
      <c r="I87" s="19"/>
      <c r="J87" s="20">
        <f t="shared" si="3"/>
        <v>0</v>
      </c>
      <c r="K87" s="20">
        <f t="shared" si="4"/>
        <v>223706.88999999998</v>
      </c>
    </row>
    <row r="88" spans="1:11" ht="18.75" x14ac:dyDescent="0.3">
      <c r="B88" s="48">
        <v>44249</v>
      </c>
      <c r="C88" s="21" t="s">
        <v>162</v>
      </c>
      <c r="D88" s="34"/>
      <c r="E88" s="18"/>
      <c r="F88" s="18"/>
      <c r="G88" s="18"/>
      <c r="H88" s="18">
        <v>194</v>
      </c>
      <c r="I88" s="19"/>
      <c r="J88" s="20">
        <f t="shared" si="3"/>
        <v>0</v>
      </c>
      <c r="K88" s="20">
        <f t="shared" si="4"/>
        <v>223512.88999999998</v>
      </c>
    </row>
    <row r="89" spans="1:11" ht="18.75" x14ac:dyDescent="0.3">
      <c r="B89" s="48">
        <v>44249</v>
      </c>
      <c r="C89" s="17" t="s">
        <v>203</v>
      </c>
      <c r="D89" s="34"/>
      <c r="E89" s="18"/>
      <c r="F89" s="18"/>
      <c r="G89" s="18"/>
      <c r="H89" s="18">
        <v>150</v>
      </c>
      <c r="I89" s="19"/>
      <c r="J89" s="20">
        <f t="shared" si="3"/>
        <v>0</v>
      </c>
      <c r="K89" s="20">
        <f t="shared" si="4"/>
        <v>223362.88999999998</v>
      </c>
    </row>
    <row r="90" spans="1:11" ht="18.75" x14ac:dyDescent="0.3">
      <c r="B90" s="49">
        <v>44249</v>
      </c>
      <c r="C90" s="17" t="s">
        <v>203</v>
      </c>
      <c r="D90" s="50"/>
      <c r="E90" s="18"/>
      <c r="F90" s="18"/>
      <c r="G90" s="18"/>
      <c r="H90" s="18">
        <v>36.56</v>
      </c>
      <c r="I90" s="19"/>
      <c r="J90" s="20">
        <f t="shared" si="3"/>
        <v>0</v>
      </c>
      <c r="K90" s="20">
        <f t="shared" si="4"/>
        <v>223326.33</v>
      </c>
    </row>
    <row r="91" spans="1:11" ht="18.75" x14ac:dyDescent="0.3">
      <c r="B91" s="49">
        <v>44249</v>
      </c>
      <c r="C91" s="21" t="s">
        <v>204</v>
      </c>
      <c r="D91" s="34"/>
      <c r="E91" s="18"/>
      <c r="F91" s="18"/>
      <c r="G91" s="18"/>
      <c r="H91" s="18">
        <v>148.49</v>
      </c>
      <c r="I91" s="19"/>
      <c r="J91" s="20">
        <f t="shared" si="3"/>
        <v>0</v>
      </c>
      <c r="K91" s="20">
        <f t="shared" si="4"/>
        <v>223177.84</v>
      </c>
    </row>
    <row r="92" spans="1:11" ht="18.75" x14ac:dyDescent="0.3">
      <c r="B92" s="49">
        <v>44249</v>
      </c>
      <c r="C92" s="21" t="s">
        <v>205</v>
      </c>
      <c r="D92" s="34"/>
      <c r="E92" s="18"/>
      <c r="F92" s="18"/>
      <c r="G92" s="18"/>
      <c r="H92" s="18">
        <v>148.5</v>
      </c>
      <c r="I92" s="19"/>
      <c r="J92" s="20">
        <f t="shared" si="3"/>
        <v>0</v>
      </c>
      <c r="K92" s="20">
        <f t="shared" si="4"/>
        <v>223029.34</v>
      </c>
    </row>
    <row r="93" spans="1:11" ht="18.75" x14ac:dyDescent="0.3">
      <c r="B93" s="49">
        <v>44250</v>
      </c>
      <c r="C93" s="21" t="s">
        <v>206</v>
      </c>
      <c r="D93" s="34"/>
      <c r="E93" s="18"/>
      <c r="F93" s="18"/>
      <c r="G93" s="18"/>
      <c r="H93" s="18">
        <v>49</v>
      </c>
      <c r="I93" s="19"/>
      <c r="J93" s="20">
        <f t="shared" si="3"/>
        <v>0</v>
      </c>
      <c r="K93" s="20">
        <f t="shared" si="4"/>
        <v>222980.34</v>
      </c>
    </row>
    <row r="94" spans="1:11" ht="19.5" thickBot="1" x14ac:dyDescent="0.35">
      <c r="B94" s="49">
        <v>44250</v>
      </c>
      <c r="C94" s="21" t="s">
        <v>207</v>
      </c>
      <c r="D94" s="34"/>
      <c r="E94" s="18"/>
      <c r="F94" s="34"/>
      <c r="G94" s="18"/>
      <c r="H94" s="18">
        <v>213.5</v>
      </c>
      <c r="I94" s="19"/>
      <c r="J94" s="20">
        <f t="shared" si="3"/>
        <v>0</v>
      </c>
      <c r="K94" s="20">
        <f t="shared" si="4"/>
        <v>222766.84</v>
      </c>
    </row>
    <row r="95" spans="1:11" ht="19.5" thickBot="1" x14ac:dyDescent="0.35">
      <c r="B95" s="25"/>
      <c r="C95" s="26" t="s">
        <v>0</v>
      </c>
      <c r="D95" s="27">
        <f>SUM(D51:D94)</f>
        <v>143850</v>
      </c>
      <c r="E95" s="27">
        <f>SUM(E51:E94)</f>
        <v>0</v>
      </c>
      <c r="F95" s="29">
        <f>SUM(D95:E95)</f>
        <v>143850</v>
      </c>
      <c r="G95" s="30">
        <f>SUM(G51:G94)</f>
        <v>0</v>
      </c>
      <c r="H95" s="27">
        <f>SUM(H51:H94)</f>
        <v>80428.739999999991</v>
      </c>
      <c r="I95" s="29">
        <f>SUM(G95:H95)</f>
        <v>80428.739999999991</v>
      </c>
      <c r="J95" s="20"/>
      <c r="K95" s="20"/>
    </row>
    <row r="96" spans="1:11" ht="19.5" thickBot="1" x14ac:dyDescent="0.35">
      <c r="B96" s="78"/>
      <c r="C96" s="79"/>
      <c r="D96" s="80"/>
      <c r="E96" s="80"/>
      <c r="F96" s="81"/>
      <c r="G96" s="82"/>
      <c r="H96" s="80"/>
      <c r="I96" s="81"/>
      <c r="J96" s="70"/>
      <c r="K96" s="70"/>
    </row>
    <row r="97" spans="2:11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1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1" ht="19.5" thickBot="1" x14ac:dyDescent="0.35">
      <c r="B99" s="25"/>
      <c r="C99" s="26"/>
      <c r="D99" s="27">
        <v>143850</v>
      </c>
      <c r="E99" s="28">
        <v>0</v>
      </c>
      <c r="F99" s="29">
        <f>SUM(D99:E99)</f>
        <v>143850</v>
      </c>
      <c r="G99" s="30">
        <v>0</v>
      </c>
      <c r="H99" s="27">
        <v>80428.740000000005</v>
      </c>
      <c r="I99" s="29">
        <f>SUM(G99:H99)</f>
        <v>80428.740000000005</v>
      </c>
      <c r="J99" s="53">
        <v>0</v>
      </c>
      <c r="K99" s="53">
        <v>222766.84</v>
      </c>
    </row>
    <row r="100" spans="2:11" ht="18.75" x14ac:dyDescent="0.3">
      <c r="B100" s="49">
        <v>44250</v>
      </c>
      <c r="C100" s="21" t="s">
        <v>208</v>
      </c>
      <c r="D100" s="34"/>
      <c r="E100" s="18"/>
      <c r="F100" s="34"/>
      <c r="G100" s="18"/>
      <c r="H100" s="18">
        <v>110</v>
      </c>
      <c r="I100" s="19"/>
      <c r="J100" s="20">
        <f>+J99+E100-G100</f>
        <v>0</v>
      </c>
      <c r="K100" s="20">
        <f>+K99+D100-H100</f>
        <v>222656.84</v>
      </c>
    </row>
    <row r="101" spans="2:11" ht="18.75" x14ac:dyDescent="0.3">
      <c r="B101" s="49">
        <v>44250</v>
      </c>
      <c r="C101" s="21" t="s">
        <v>209</v>
      </c>
      <c r="D101" s="34"/>
      <c r="E101" s="18"/>
      <c r="F101" s="34"/>
      <c r="G101" s="18"/>
      <c r="H101" s="18">
        <v>246.1</v>
      </c>
      <c r="I101" s="19"/>
      <c r="J101" s="20">
        <f t="shared" ref="J101:J103" si="5">+J100+E101-G101</f>
        <v>0</v>
      </c>
      <c r="K101" s="20">
        <f t="shared" ref="K101:K103" si="6">+K100+D101-H101</f>
        <v>222410.74</v>
      </c>
    </row>
    <row r="102" spans="2:11" ht="18.75" x14ac:dyDescent="0.3">
      <c r="B102" s="49">
        <v>44250</v>
      </c>
      <c r="C102" s="21" t="s">
        <v>210</v>
      </c>
      <c r="D102" s="34"/>
      <c r="E102" s="18"/>
      <c r="F102" s="34"/>
      <c r="G102" s="18"/>
      <c r="H102" s="18">
        <v>2500</v>
      </c>
      <c r="I102" s="19"/>
      <c r="J102" s="20">
        <f t="shared" si="5"/>
        <v>0</v>
      </c>
      <c r="K102" s="20">
        <f t="shared" si="6"/>
        <v>219910.74</v>
      </c>
    </row>
    <row r="103" spans="2:11" ht="18.75" x14ac:dyDescent="0.3">
      <c r="B103" s="49">
        <v>44251</v>
      </c>
      <c r="C103" s="21" t="s">
        <v>211</v>
      </c>
      <c r="D103" s="34"/>
      <c r="E103" s="18"/>
      <c r="F103" s="34"/>
      <c r="G103" s="18"/>
      <c r="H103" s="18">
        <v>1950</v>
      </c>
      <c r="I103" s="19"/>
      <c r="J103" s="20">
        <f t="shared" si="5"/>
        <v>0</v>
      </c>
      <c r="K103" s="20">
        <f t="shared" si="6"/>
        <v>217960.74</v>
      </c>
    </row>
    <row r="104" spans="2:11" ht="18.75" x14ac:dyDescent="0.3">
      <c r="B104" s="49">
        <v>44251</v>
      </c>
      <c r="C104" s="21" t="s">
        <v>212</v>
      </c>
      <c r="D104" s="34"/>
      <c r="E104" s="18"/>
      <c r="F104" s="34"/>
      <c r="G104" s="18"/>
      <c r="H104" s="18">
        <v>600</v>
      </c>
      <c r="I104" s="19"/>
      <c r="J104" s="20">
        <f t="shared" ref="J104:J118" si="7">+J103+E104-G104</f>
        <v>0</v>
      </c>
      <c r="K104" s="20">
        <f t="shared" ref="K104:K118" si="8">+K103+D104-H104</f>
        <v>217360.74</v>
      </c>
    </row>
    <row r="105" spans="2:11" ht="18.75" x14ac:dyDescent="0.3">
      <c r="B105" s="49">
        <v>44251</v>
      </c>
      <c r="C105" s="21" t="s">
        <v>213</v>
      </c>
      <c r="D105" s="34"/>
      <c r="E105" s="18"/>
      <c r="F105" s="34"/>
      <c r="G105" s="18"/>
      <c r="H105" s="18">
        <v>1850</v>
      </c>
      <c r="I105" s="19"/>
      <c r="J105" s="20">
        <f t="shared" si="7"/>
        <v>0</v>
      </c>
      <c r="K105" s="20">
        <f t="shared" si="8"/>
        <v>215510.74</v>
      </c>
    </row>
    <row r="106" spans="2:11" ht="18.75" x14ac:dyDescent="0.3">
      <c r="B106" s="49">
        <v>44251</v>
      </c>
      <c r="C106" s="21" t="s">
        <v>214</v>
      </c>
      <c r="D106" s="34"/>
      <c r="E106" s="18"/>
      <c r="F106" s="34"/>
      <c r="G106" s="18"/>
      <c r="H106" s="18">
        <v>600</v>
      </c>
      <c r="I106" s="19"/>
      <c r="J106" s="20">
        <f t="shared" si="7"/>
        <v>0</v>
      </c>
      <c r="K106" s="20">
        <f t="shared" si="8"/>
        <v>214910.74</v>
      </c>
    </row>
    <row r="107" spans="2:11" ht="18.75" x14ac:dyDescent="0.3">
      <c r="B107" s="49">
        <v>44251</v>
      </c>
      <c r="C107" s="21" t="s">
        <v>215</v>
      </c>
      <c r="D107" s="34"/>
      <c r="E107" s="18"/>
      <c r="F107" s="34"/>
      <c r="G107" s="18"/>
      <c r="H107" s="18">
        <v>1500</v>
      </c>
      <c r="I107" s="19"/>
      <c r="J107" s="20">
        <f t="shared" si="7"/>
        <v>0</v>
      </c>
      <c r="K107" s="20">
        <f t="shared" si="8"/>
        <v>213410.74</v>
      </c>
    </row>
    <row r="108" spans="2:11" ht="18.75" x14ac:dyDescent="0.3">
      <c r="B108" s="49">
        <v>44251</v>
      </c>
      <c r="C108" s="21" t="s">
        <v>216</v>
      </c>
      <c r="D108" s="34"/>
      <c r="E108" s="18"/>
      <c r="F108" s="34"/>
      <c r="G108" s="18"/>
      <c r="H108" s="18">
        <v>300</v>
      </c>
      <c r="I108" s="19"/>
      <c r="J108" s="20">
        <f t="shared" si="7"/>
        <v>0</v>
      </c>
      <c r="K108" s="20">
        <f t="shared" si="8"/>
        <v>213110.74</v>
      </c>
    </row>
    <row r="109" spans="2:11" ht="18.75" x14ac:dyDescent="0.3">
      <c r="B109" s="49">
        <v>44251</v>
      </c>
      <c r="C109" s="21" t="s">
        <v>217</v>
      </c>
      <c r="D109" s="34"/>
      <c r="E109" s="18"/>
      <c r="F109" s="34"/>
      <c r="G109" s="18"/>
      <c r="H109" s="18">
        <v>400</v>
      </c>
      <c r="I109" s="19"/>
      <c r="J109" s="20">
        <f t="shared" si="7"/>
        <v>0</v>
      </c>
      <c r="K109" s="20">
        <f t="shared" si="8"/>
        <v>212710.74</v>
      </c>
    </row>
    <row r="110" spans="2:11" ht="18.75" x14ac:dyDescent="0.3">
      <c r="B110" s="49">
        <v>44252</v>
      </c>
      <c r="C110" s="21" t="s">
        <v>218</v>
      </c>
      <c r="D110" s="34"/>
      <c r="E110" s="18"/>
      <c r="F110" s="34"/>
      <c r="G110" s="18"/>
      <c r="H110" s="18">
        <v>3000</v>
      </c>
      <c r="I110" s="19"/>
      <c r="J110" s="20">
        <f t="shared" si="7"/>
        <v>0</v>
      </c>
      <c r="K110" s="20">
        <f t="shared" si="8"/>
        <v>209710.74</v>
      </c>
    </row>
    <row r="111" spans="2:11" ht="18.75" x14ac:dyDescent="0.3">
      <c r="B111" s="49">
        <v>44253</v>
      </c>
      <c r="C111" s="21" t="s">
        <v>219</v>
      </c>
      <c r="D111" s="34"/>
      <c r="E111" s="18"/>
      <c r="F111" s="34"/>
      <c r="G111" s="18"/>
      <c r="H111" s="18">
        <v>40</v>
      </c>
      <c r="I111" s="19"/>
      <c r="J111" s="20">
        <f t="shared" si="7"/>
        <v>0</v>
      </c>
      <c r="K111" s="20">
        <f t="shared" si="8"/>
        <v>209670.74</v>
      </c>
    </row>
    <row r="112" spans="2:11" ht="18.75" x14ac:dyDescent="0.3">
      <c r="B112" s="49">
        <v>44253</v>
      </c>
      <c r="C112" s="21" t="s">
        <v>150</v>
      </c>
      <c r="D112" s="34"/>
      <c r="E112" s="18"/>
      <c r="F112" s="34"/>
      <c r="G112" s="18"/>
      <c r="H112" s="18">
        <v>80</v>
      </c>
      <c r="I112" s="19"/>
      <c r="J112" s="20">
        <f t="shared" si="7"/>
        <v>0</v>
      </c>
      <c r="K112" s="20">
        <f t="shared" si="8"/>
        <v>209590.74</v>
      </c>
    </row>
    <row r="113" spans="2:11" ht="18.75" x14ac:dyDescent="0.3">
      <c r="B113" s="49">
        <v>44253</v>
      </c>
      <c r="C113" s="21" t="s">
        <v>220</v>
      </c>
      <c r="D113" s="34"/>
      <c r="E113" s="18"/>
      <c r="F113" s="34"/>
      <c r="G113" s="18"/>
      <c r="H113" s="18">
        <v>1300</v>
      </c>
      <c r="I113" s="19"/>
      <c r="J113" s="20">
        <f t="shared" si="7"/>
        <v>0</v>
      </c>
      <c r="K113" s="20">
        <f t="shared" si="8"/>
        <v>208290.74</v>
      </c>
    </row>
    <row r="114" spans="2:11" ht="18.75" x14ac:dyDescent="0.3">
      <c r="B114" s="49">
        <v>44254</v>
      </c>
      <c r="C114" s="21" t="s">
        <v>221</v>
      </c>
      <c r="D114" s="34"/>
      <c r="E114" s="18"/>
      <c r="F114" s="34"/>
      <c r="G114" s="18"/>
      <c r="H114" s="18">
        <v>4500</v>
      </c>
      <c r="I114" s="19"/>
      <c r="J114" s="20">
        <f t="shared" si="7"/>
        <v>0</v>
      </c>
      <c r="K114" s="20">
        <f t="shared" si="8"/>
        <v>203790.74</v>
      </c>
    </row>
    <row r="115" spans="2:11" ht="18.75" x14ac:dyDescent="0.3">
      <c r="B115" s="49">
        <v>44254</v>
      </c>
      <c r="C115" s="21" t="s">
        <v>220</v>
      </c>
      <c r="D115" s="34"/>
      <c r="E115" s="18"/>
      <c r="F115" s="34"/>
      <c r="G115" s="18"/>
      <c r="H115" s="18">
        <v>840.06</v>
      </c>
      <c r="I115" s="19"/>
      <c r="J115" s="20">
        <f t="shared" si="7"/>
        <v>0</v>
      </c>
      <c r="K115" s="20">
        <f t="shared" si="8"/>
        <v>202950.68</v>
      </c>
    </row>
    <row r="116" spans="2:11" ht="18.75" x14ac:dyDescent="0.3">
      <c r="B116" s="49">
        <v>44254</v>
      </c>
      <c r="C116" s="21" t="s">
        <v>223</v>
      </c>
      <c r="D116" s="34"/>
      <c r="E116" s="18"/>
      <c r="F116" s="34"/>
      <c r="G116" s="18"/>
      <c r="H116" s="18">
        <v>300</v>
      </c>
      <c r="I116" s="19"/>
      <c r="J116" s="20">
        <f t="shared" si="7"/>
        <v>0</v>
      </c>
      <c r="K116" s="20">
        <f t="shared" si="8"/>
        <v>202650.68</v>
      </c>
    </row>
    <row r="117" spans="2:11" ht="18.75" x14ac:dyDescent="0.3">
      <c r="B117" s="49">
        <v>44254</v>
      </c>
      <c r="C117" s="21" t="s">
        <v>224</v>
      </c>
      <c r="D117" s="34"/>
      <c r="E117" s="18"/>
      <c r="F117" s="34"/>
      <c r="G117" s="18"/>
      <c r="H117" s="18">
        <v>116</v>
      </c>
      <c r="I117" s="19"/>
      <c r="J117" s="20">
        <f t="shared" si="7"/>
        <v>0</v>
      </c>
      <c r="K117" s="20">
        <f t="shared" si="8"/>
        <v>202534.68</v>
      </c>
    </row>
    <row r="118" spans="2:11" ht="18.75" x14ac:dyDescent="0.3">
      <c r="B118" s="49">
        <v>44254</v>
      </c>
      <c r="C118" s="21" t="s">
        <v>189</v>
      </c>
      <c r="D118" s="34"/>
      <c r="E118" s="18"/>
      <c r="F118" s="34"/>
      <c r="G118" s="18"/>
      <c r="H118" s="18">
        <v>129.96</v>
      </c>
      <c r="I118" s="19"/>
      <c r="J118" s="20">
        <f t="shared" si="7"/>
        <v>0</v>
      </c>
      <c r="K118" s="20">
        <f t="shared" si="8"/>
        <v>202404.72</v>
      </c>
    </row>
    <row r="119" spans="2:11" ht="18.75" x14ac:dyDescent="0.3">
      <c r="B119" s="49">
        <v>44254</v>
      </c>
      <c r="C119" s="21" t="s">
        <v>225</v>
      </c>
      <c r="D119" s="34"/>
      <c r="E119" s="18"/>
      <c r="F119" s="34"/>
      <c r="G119" s="18"/>
      <c r="H119" s="18">
        <v>4200</v>
      </c>
      <c r="I119" s="19"/>
      <c r="J119" s="20">
        <f t="shared" ref="J119:J121" si="9">+J118+E119-G119</f>
        <v>0</v>
      </c>
      <c r="K119" s="20">
        <f t="shared" ref="K119:K121" si="10">+K118+D119-H119</f>
        <v>198204.72</v>
      </c>
    </row>
    <row r="120" spans="2:11" ht="18.75" x14ac:dyDescent="0.3">
      <c r="B120" s="49">
        <v>44254</v>
      </c>
      <c r="C120" s="21" t="s">
        <v>226</v>
      </c>
      <c r="D120" s="34"/>
      <c r="E120" s="18"/>
      <c r="F120" s="34"/>
      <c r="G120" s="18"/>
      <c r="H120" s="18">
        <v>300</v>
      </c>
      <c r="I120" s="19"/>
      <c r="J120" s="20">
        <f t="shared" si="9"/>
        <v>0</v>
      </c>
      <c r="K120" s="20">
        <f t="shared" si="10"/>
        <v>197904.72</v>
      </c>
    </row>
    <row r="121" spans="2:11" ht="18.75" x14ac:dyDescent="0.3">
      <c r="B121" s="49">
        <v>44255</v>
      </c>
      <c r="C121" s="21" t="s">
        <v>227</v>
      </c>
      <c r="D121" s="34"/>
      <c r="E121" s="18"/>
      <c r="F121" s="34"/>
      <c r="G121" s="18"/>
      <c r="H121" s="18">
        <v>120</v>
      </c>
      <c r="I121" s="19"/>
      <c r="J121" s="20">
        <f t="shared" si="9"/>
        <v>0</v>
      </c>
      <c r="K121" s="20">
        <f t="shared" si="10"/>
        <v>197784.72</v>
      </c>
    </row>
    <row r="122" spans="2:11" ht="18.75" x14ac:dyDescent="0.3">
      <c r="B122" s="49">
        <v>44255</v>
      </c>
      <c r="C122" s="21" t="s">
        <v>182</v>
      </c>
      <c r="D122" s="34"/>
      <c r="E122" s="18"/>
      <c r="F122" s="34"/>
      <c r="G122" s="18"/>
      <c r="H122" s="18">
        <v>100</v>
      </c>
      <c r="I122" s="19"/>
      <c r="J122" s="20">
        <f t="shared" ref="J122:J135" si="11">+J121+E122-G122</f>
        <v>0</v>
      </c>
      <c r="K122" s="20">
        <f t="shared" ref="K122:K135" si="12">+K121+D122-H122</f>
        <v>197684.72</v>
      </c>
    </row>
    <row r="123" spans="2:11" ht="18.75" x14ac:dyDescent="0.3">
      <c r="B123" s="49">
        <v>44255</v>
      </c>
      <c r="C123" s="17" t="s">
        <v>183</v>
      </c>
      <c r="D123" s="34"/>
      <c r="E123" s="34"/>
      <c r="F123" s="34"/>
      <c r="G123" s="18"/>
      <c r="H123" s="18">
        <v>200</v>
      </c>
      <c r="I123" s="19"/>
      <c r="J123" s="20">
        <f t="shared" si="11"/>
        <v>0</v>
      </c>
      <c r="K123" s="20">
        <f t="shared" si="12"/>
        <v>197484.72</v>
      </c>
    </row>
    <row r="124" spans="2:11" ht="18.75" x14ac:dyDescent="0.3">
      <c r="B124" s="49">
        <v>44255</v>
      </c>
      <c r="C124" s="21" t="s">
        <v>184</v>
      </c>
      <c r="D124" s="34"/>
      <c r="E124" s="34"/>
      <c r="F124" s="34"/>
      <c r="G124" s="18"/>
      <c r="H124" s="18">
        <v>250</v>
      </c>
      <c r="I124" s="19"/>
      <c r="J124" s="20">
        <f t="shared" si="11"/>
        <v>0</v>
      </c>
      <c r="K124" s="20">
        <f t="shared" si="12"/>
        <v>197234.72</v>
      </c>
    </row>
    <row r="125" spans="2:11" ht="18.75" x14ac:dyDescent="0.3">
      <c r="B125" s="49">
        <v>44255</v>
      </c>
      <c r="C125" s="21" t="s">
        <v>185</v>
      </c>
      <c r="D125" s="34"/>
      <c r="E125" s="34"/>
      <c r="F125" s="34"/>
      <c r="G125" s="18"/>
      <c r="H125" s="18">
        <v>300</v>
      </c>
      <c r="I125" s="19"/>
      <c r="J125" s="20">
        <f t="shared" si="11"/>
        <v>0</v>
      </c>
      <c r="K125" s="20">
        <f t="shared" si="12"/>
        <v>196934.72</v>
      </c>
    </row>
    <row r="126" spans="2:11" ht="18.75" x14ac:dyDescent="0.3">
      <c r="B126" s="49">
        <v>44255</v>
      </c>
      <c r="C126" s="21" t="s">
        <v>186</v>
      </c>
      <c r="D126" s="34"/>
      <c r="E126" s="34"/>
      <c r="F126" s="34"/>
      <c r="G126" s="18"/>
      <c r="H126" s="18">
        <v>650</v>
      </c>
      <c r="I126" s="19"/>
      <c r="J126" s="20">
        <f t="shared" si="11"/>
        <v>0</v>
      </c>
      <c r="K126" s="20">
        <f t="shared" si="12"/>
        <v>196284.72</v>
      </c>
    </row>
    <row r="127" spans="2:11" ht="18.75" x14ac:dyDescent="0.3">
      <c r="B127" s="49">
        <v>44255</v>
      </c>
      <c r="C127" s="24" t="s">
        <v>188</v>
      </c>
      <c r="D127" s="34"/>
      <c r="E127" s="34"/>
      <c r="F127" s="34"/>
      <c r="G127" s="18"/>
      <c r="H127" s="18">
        <v>3000</v>
      </c>
      <c r="I127" s="19"/>
      <c r="J127" s="20">
        <f t="shared" si="11"/>
        <v>0</v>
      </c>
      <c r="K127" s="20">
        <f t="shared" si="12"/>
        <v>193284.72</v>
      </c>
    </row>
    <row r="128" spans="2:11" ht="18.75" x14ac:dyDescent="0.3">
      <c r="B128" s="49">
        <v>44255</v>
      </c>
      <c r="C128" s="54" t="s">
        <v>86</v>
      </c>
      <c r="D128" s="34"/>
      <c r="E128" s="34"/>
      <c r="F128" s="34"/>
      <c r="G128" s="18"/>
      <c r="H128" s="18">
        <v>2500</v>
      </c>
      <c r="I128" s="19"/>
      <c r="J128" s="20">
        <f t="shared" si="11"/>
        <v>0</v>
      </c>
      <c r="K128" s="20">
        <f t="shared" si="12"/>
        <v>190784.72</v>
      </c>
    </row>
    <row r="129" spans="2:12" ht="18.75" x14ac:dyDescent="0.3">
      <c r="B129" s="49">
        <v>44255</v>
      </c>
      <c r="C129" s="21" t="s">
        <v>80</v>
      </c>
      <c r="D129" s="34"/>
      <c r="E129" s="34"/>
      <c r="F129" s="34"/>
      <c r="G129" s="18"/>
      <c r="H129" s="18">
        <v>3400</v>
      </c>
      <c r="I129" s="19"/>
      <c r="J129" s="20">
        <f t="shared" si="11"/>
        <v>0</v>
      </c>
      <c r="K129" s="20">
        <f t="shared" si="12"/>
        <v>187384.72</v>
      </c>
    </row>
    <row r="130" spans="2:12" ht="18.75" x14ac:dyDescent="0.3">
      <c r="B130" s="49">
        <v>44255</v>
      </c>
      <c r="C130" s="24" t="s">
        <v>229</v>
      </c>
      <c r="D130" s="34">
        <v>9000</v>
      </c>
      <c r="E130" s="34"/>
      <c r="F130" s="34"/>
      <c r="G130" s="18"/>
      <c r="H130" s="18"/>
      <c r="I130" s="19"/>
      <c r="J130" s="20">
        <f t="shared" si="11"/>
        <v>0</v>
      </c>
      <c r="K130" s="20">
        <f t="shared" si="12"/>
        <v>196384.72</v>
      </c>
    </row>
    <row r="131" spans="2:12" ht="18.75" x14ac:dyDescent="0.3">
      <c r="B131" s="49">
        <v>44255</v>
      </c>
      <c r="C131" s="24" t="s">
        <v>88</v>
      </c>
      <c r="D131" s="34"/>
      <c r="E131" s="18"/>
      <c r="F131" s="18"/>
      <c r="G131" s="18"/>
      <c r="H131" s="18">
        <v>9000</v>
      </c>
      <c r="I131" s="19"/>
      <c r="J131" s="20">
        <f t="shared" si="11"/>
        <v>0</v>
      </c>
      <c r="K131" s="20">
        <f t="shared" si="12"/>
        <v>187384.72</v>
      </c>
    </row>
    <row r="132" spans="2:12" ht="18.75" x14ac:dyDescent="0.3">
      <c r="B132" s="49">
        <v>44255</v>
      </c>
      <c r="C132" s="24" t="s">
        <v>89</v>
      </c>
      <c r="D132" s="34"/>
      <c r="E132" s="18"/>
      <c r="F132" s="18"/>
      <c r="G132" s="18"/>
      <c r="H132" s="18">
        <v>29250</v>
      </c>
      <c r="I132" s="19"/>
      <c r="J132" s="20">
        <f t="shared" si="11"/>
        <v>0</v>
      </c>
      <c r="K132" s="20">
        <f t="shared" si="12"/>
        <v>158134.72</v>
      </c>
    </row>
    <row r="133" spans="2:12" ht="18.75" x14ac:dyDescent="0.3">
      <c r="B133" s="49">
        <v>44255</v>
      </c>
      <c r="C133" s="43" t="s">
        <v>84</v>
      </c>
      <c r="D133" s="34"/>
      <c r="E133" s="18"/>
      <c r="F133" s="18"/>
      <c r="G133" s="18"/>
      <c r="H133" s="18">
        <v>5450</v>
      </c>
      <c r="I133" s="19"/>
      <c r="J133" s="20">
        <f t="shared" si="11"/>
        <v>0</v>
      </c>
      <c r="K133" s="20">
        <f t="shared" si="12"/>
        <v>152684.72</v>
      </c>
    </row>
    <row r="134" spans="2:12" ht="18.75" x14ac:dyDescent="0.3">
      <c r="B134" s="49">
        <v>44255</v>
      </c>
      <c r="C134" s="77" t="s">
        <v>222</v>
      </c>
      <c r="D134" s="34">
        <v>40350</v>
      </c>
      <c r="E134" s="18"/>
      <c r="F134" s="18"/>
      <c r="G134" s="18"/>
      <c r="H134" s="18"/>
      <c r="I134" s="19"/>
      <c r="J134" s="20">
        <f t="shared" si="11"/>
        <v>0</v>
      </c>
      <c r="K134" s="20">
        <f t="shared" si="12"/>
        <v>193034.72</v>
      </c>
    </row>
    <row r="135" spans="2:12" ht="19.5" thickBot="1" x14ac:dyDescent="0.35">
      <c r="B135" s="57"/>
      <c r="C135" s="43"/>
      <c r="D135" s="34"/>
      <c r="E135" s="18"/>
      <c r="F135" s="18"/>
      <c r="G135" s="18"/>
      <c r="H135" s="18"/>
      <c r="I135" s="19"/>
      <c r="J135" s="20">
        <f t="shared" si="11"/>
        <v>0</v>
      </c>
      <c r="K135" s="20">
        <f t="shared" si="12"/>
        <v>193034.72</v>
      </c>
    </row>
    <row r="136" spans="2:12" ht="19.5" thickBot="1" x14ac:dyDescent="0.35">
      <c r="B136" s="25"/>
      <c r="C136" s="26" t="s">
        <v>0</v>
      </c>
      <c r="D136" s="27">
        <f>SUM(D99:D135)</f>
        <v>193200</v>
      </c>
      <c r="E136" s="28">
        <f>SUM(E99:E135)</f>
        <v>0</v>
      </c>
      <c r="F136" s="29">
        <f>SUM(D136:E136)</f>
        <v>193200</v>
      </c>
      <c r="G136" s="30">
        <f>SUM(G60:G124)</f>
        <v>0</v>
      </c>
      <c r="H136" s="27">
        <f>SUM(H99:H135)</f>
        <v>159510.86000000002</v>
      </c>
      <c r="I136" s="29">
        <f>SUM(G136:H136)</f>
        <v>159510.86000000002</v>
      </c>
      <c r="J136" s="31"/>
      <c r="K136" s="31"/>
    </row>
    <row r="137" spans="2:12" ht="19.5" thickBot="1" x14ac:dyDescent="0.35"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2:12" ht="19.5" thickBot="1" x14ac:dyDescent="0.35">
      <c r="B138" s="5"/>
      <c r="C138" s="5"/>
      <c r="D138" s="5"/>
      <c r="E138" s="5"/>
      <c r="F138" s="5"/>
      <c r="G138" s="5"/>
      <c r="H138" s="5"/>
      <c r="I138" s="35" t="s">
        <v>7</v>
      </c>
      <c r="J138" s="35" t="s">
        <v>6</v>
      </c>
      <c r="K138" s="36" t="s">
        <v>0</v>
      </c>
    </row>
    <row r="139" spans="2:12" ht="19.5" thickBot="1" x14ac:dyDescent="0.35">
      <c r="B139" s="5"/>
      <c r="C139" s="5"/>
      <c r="D139" s="5"/>
      <c r="E139" s="5"/>
      <c r="F139" s="5"/>
      <c r="G139" s="5"/>
      <c r="H139" s="5"/>
      <c r="I139" s="37">
        <v>0</v>
      </c>
      <c r="J139" s="37">
        <v>193034.72</v>
      </c>
      <c r="K139" s="31">
        <f>SUM(I139:J139)</f>
        <v>193034.72</v>
      </c>
    </row>
    <row r="142" spans="2:12" x14ac:dyDescent="0.25">
      <c r="L142" s="1"/>
    </row>
  </sheetData>
  <printOptions verticalCentered="1"/>
  <pageMargins left="0.31496062992125984" right="0" top="0" bottom="0" header="0.31496062992125984" footer="0.31496062992125984"/>
  <pageSetup paperSize="9" scale="66" fitToHeight="0" orientation="landscape" r:id="rId1"/>
  <ignoredErrors>
    <ignoredError sqref="F1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8"/>
  <sheetViews>
    <sheetView zoomScale="80" zoomScaleNormal="80" workbookViewId="0">
      <pane ySplit="3" topLeftCell="A16" activePane="bottomLeft" state="frozen"/>
      <selection pane="bottomLeft" activeCell="C28" sqref="C28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6.5703125" customWidth="1"/>
    <col min="4" max="11" width="13" customWidth="1"/>
    <col min="12" max="12" width="12.28515625" customWidth="1"/>
    <col min="13" max="13" width="13.85546875" customWidth="1"/>
  </cols>
  <sheetData>
    <row r="1" spans="2:13" ht="19.5" thickBot="1" x14ac:dyDescent="0.35">
      <c r="B1" s="39"/>
      <c r="C1" s="6" t="s">
        <v>15</v>
      </c>
      <c r="D1" s="5"/>
      <c r="E1" s="5"/>
      <c r="F1" s="5"/>
      <c r="G1" s="5"/>
      <c r="H1" s="5"/>
      <c r="I1" s="5"/>
      <c r="J1" s="5"/>
      <c r="K1" s="5"/>
    </row>
    <row r="2" spans="2:13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3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3" ht="18.75" x14ac:dyDescent="0.3">
      <c r="B4" s="52">
        <v>44255</v>
      </c>
      <c r="C4" s="12" t="s">
        <v>14</v>
      </c>
      <c r="D4" s="13"/>
      <c r="E4" s="14"/>
      <c r="F4" s="14"/>
      <c r="G4" s="14"/>
      <c r="H4" s="15"/>
      <c r="I4" s="16"/>
      <c r="J4" s="53">
        <v>0</v>
      </c>
      <c r="K4" s="53">
        <v>193034.72</v>
      </c>
    </row>
    <row r="5" spans="2:13" ht="18.75" x14ac:dyDescent="0.3">
      <c r="B5" s="11">
        <v>44256</v>
      </c>
      <c r="C5" s="40" t="s">
        <v>237</v>
      </c>
      <c r="D5" s="13"/>
      <c r="E5" s="14"/>
      <c r="F5" s="14"/>
      <c r="G5" s="14"/>
      <c r="H5" s="15">
        <v>85.87</v>
      </c>
      <c r="I5" s="16"/>
      <c r="J5" s="20">
        <f>+J4+E5-G5</f>
        <v>0</v>
      </c>
      <c r="K5" s="20">
        <f>+K4+D5-H5</f>
        <v>192948.85</v>
      </c>
      <c r="M5" t="s">
        <v>228</v>
      </c>
    </row>
    <row r="6" spans="2:13" ht="18.75" x14ac:dyDescent="0.3">
      <c r="B6" s="11">
        <v>44256</v>
      </c>
      <c r="C6" s="17" t="s">
        <v>238</v>
      </c>
      <c r="D6" s="34"/>
      <c r="E6" s="18"/>
      <c r="F6" s="18"/>
      <c r="G6" s="18"/>
      <c r="H6" s="18">
        <v>100</v>
      </c>
      <c r="I6" s="19"/>
      <c r="J6" s="20">
        <f t="shared" ref="J6:J45" si="0">+J5+E6-G6</f>
        <v>0</v>
      </c>
      <c r="K6" s="20">
        <f t="shared" ref="K6:K45" si="1">+K5+D6-H6</f>
        <v>192848.85</v>
      </c>
    </row>
    <row r="7" spans="2:13" ht="18.75" x14ac:dyDescent="0.3">
      <c r="B7" s="22">
        <v>44256</v>
      </c>
      <c r="C7" s="21" t="s">
        <v>239</v>
      </c>
      <c r="D7" s="34"/>
      <c r="E7" s="18"/>
      <c r="F7" s="18"/>
      <c r="G7" s="18"/>
      <c r="H7" s="18">
        <v>80</v>
      </c>
      <c r="I7" s="19"/>
      <c r="J7" s="20">
        <f t="shared" si="0"/>
        <v>0</v>
      </c>
      <c r="K7" s="20">
        <f t="shared" si="1"/>
        <v>192768.85</v>
      </c>
    </row>
    <row r="8" spans="2:13" ht="18.75" x14ac:dyDescent="0.3">
      <c r="B8" s="22">
        <v>44256</v>
      </c>
      <c r="C8" s="41" t="s">
        <v>240</v>
      </c>
      <c r="D8" s="34"/>
      <c r="E8" s="18"/>
      <c r="F8" s="18"/>
      <c r="G8" s="18"/>
      <c r="H8" s="18">
        <v>123</v>
      </c>
      <c r="I8" s="19"/>
      <c r="J8" s="20">
        <f t="shared" si="0"/>
        <v>0</v>
      </c>
      <c r="K8" s="20">
        <f t="shared" si="1"/>
        <v>192645.85</v>
      </c>
    </row>
    <row r="9" spans="2:13" ht="18.75" x14ac:dyDescent="0.3">
      <c r="B9" s="22">
        <v>44256</v>
      </c>
      <c r="C9" s="21" t="s">
        <v>241</v>
      </c>
      <c r="D9" s="34"/>
      <c r="E9" s="18"/>
      <c r="F9" s="18"/>
      <c r="G9" s="18"/>
      <c r="H9" s="18">
        <v>300</v>
      </c>
      <c r="I9" s="19"/>
      <c r="J9" s="20">
        <f t="shared" si="0"/>
        <v>0</v>
      </c>
      <c r="K9" s="20">
        <f t="shared" si="1"/>
        <v>192345.85</v>
      </c>
    </row>
    <row r="10" spans="2:13" ht="18.75" x14ac:dyDescent="0.3">
      <c r="B10" s="22">
        <v>44257</v>
      </c>
      <c r="C10" s="54" t="s">
        <v>242</v>
      </c>
      <c r="D10" s="34"/>
      <c r="E10" s="18"/>
      <c r="F10" s="18"/>
      <c r="G10" s="18"/>
      <c r="H10" s="18">
        <v>1785</v>
      </c>
      <c r="I10" s="19"/>
      <c r="J10" s="20">
        <f t="shared" si="0"/>
        <v>0</v>
      </c>
      <c r="K10" s="20">
        <f t="shared" si="1"/>
        <v>190560.85</v>
      </c>
    </row>
    <row r="11" spans="2:13" ht="18.75" x14ac:dyDescent="0.3">
      <c r="B11" s="22">
        <v>44257</v>
      </c>
      <c r="C11" s="21" t="s">
        <v>147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190360.85</v>
      </c>
    </row>
    <row r="12" spans="2:13" ht="18.75" x14ac:dyDescent="0.3">
      <c r="B12" s="22">
        <v>44257</v>
      </c>
      <c r="C12" s="24" t="s">
        <v>243</v>
      </c>
      <c r="D12" s="34"/>
      <c r="E12" s="18"/>
      <c r="F12" s="18"/>
      <c r="G12" s="18"/>
      <c r="H12" s="18">
        <v>533.5</v>
      </c>
      <c r="I12" s="19"/>
      <c r="J12" s="20">
        <f t="shared" si="0"/>
        <v>0</v>
      </c>
      <c r="K12" s="20">
        <f t="shared" si="1"/>
        <v>189827.35</v>
      </c>
    </row>
    <row r="13" spans="2:13" ht="18.75" x14ac:dyDescent="0.3">
      <c r="B13" s="22">
        <v>44258</v>
      </c>
      <c r="C13" s="21" t="s">
        <v>244</v>
      </c>
      <c r="D13" s="34"/>
      <c r="E13" s="18"/>
      <c r="F13" s="18"/>
      <c r="G13" s="18"/>
      <c r="H13" s="18">
        <v>400</v>
      </c>
      <c r="I13" s="19"/>
      <c r="J13" s="20">
        <f t="shared" si="0"/>
        <v>0</v>
      </c>
      <c r="K13" s="20">
        <f t="shared" si="1"/>
        <v>189427.35</v>
      </c>
    </row>
    <row r="14" spans="2:13" ht="18.75" x14ac:dyDescent="0.3">
      <c r="B14" s="22">
        <v>44259</v>
      </c>
      <c r="C14" s="21" t="s">
        <v>245</v>
      </c>
      <c r="D14" s="34"/>
      <c r="E14" s="18"/>
      <c r="F14" s="18"/>
      <c r="G14" s="18"/>
      <c r="H14" s="18">
        <v>350</v>
      </c>
      <c r="I14" s="19"/>
      <c r="J14" s="20">
        <f t="shared" si="0"/>
        <v>0</v>
      </c>
      <c r="K14" s="20">
        <f t="shared" si="1"/>
        <v>189077.35</v>
      </c>
    </row>
    <row r="15" spans="2:13" ht="18.75" x14ac:dyDescent="0.3">
      <c r="B15" s="22">
        <v>44261</v>
      </c>
      <c r="C15" s="21" t="s">
        <v>244</v>
      </c>
      <c r="D15" s="34"/>
      <c r="E15" s="18"/>
      <c r="F15" s="18"/>
      <c r="G15" s="18"/>
      <c r="H15" s="18">
        <v>400</v>
      </c>
      <c r="I15" s="19"/>
      <c r="J15" s="20">
        <f t="shared" si="0"/>
        <v>0</v>
      </c>
      <c r="K15" s="20">
        <f t="shared" si="1"/>
        <v>188677.35</v>
      </c>
    </row>
    <row r="16" spans="2:13" ht="18.75" x14ac:dyDescent="0.3">
      <c r="B16" s="22">
        <v>44261</v>
      </c>
      <c r="C16" s="41" t="s">
        <v>245</v>
      </c>
      <c r="D16" s="34"/>
      <c r="E16" s="18"/>
      <c r="F16" s="18"/>
      <c r="G16" s="18"/>
      <c r="H16" s="18">
        <v>350</v>
      </c>
      <c r="I16" s="19"/>
      <c r="J16" s="20">
        <f t="shared" si="0"/>
        <v>0</v>
      </c>
      <c r="K16" s="20">
        <f t="shared" si="1"/>
        <v>188327.35</v>
      </c>
    </row>
    <row r="17" spans="2:13" ht="18.75" x14ac:dyDescent="0.3">
      <c r="B17" s="22">
        <v>44261</v>
      </c>
      <c r="C17" s="21" t="s">
        <v>246</v>
      </c>
      <c r="D17" s="34"/>
      <c r="E17" s="18"/>
      <c r="F17" s="18"/>
      <c r="G17" s="18"/>
      <c r="H17" s="18">
        <v>400</v>
      </c>
      <c r="I17" s="19"/>
      <c r="J17" s="20">
        <f t="shared" si="0"/>
        <v>0</v>
      </c>
      <c r="K17" s="20">
        <f t="shared" si="1"/>
        <v>187927.35</v>
      </c>
      <c r="L17" s="20"/>
      <c r="M17" s="5"/>
    </row>
    <row r="18" spans="2:13" ht="18.75" x14ac:dyDescent="0.3">
      <c r="B18" s="22">
        <v>44262</v>
      </c>
      <c r="C18" s="21" t="s">
        <v>247</v>
      </c>
      <c r="D18" s="34"/>
      <c r="E18" s="18"/>
      <c r="F18" s="18"/>
      <c r="G18" s="18"/>
      <c r="H18" s="18">
        <v>100</v>
      </c>
      <c r="I18" s="19"/>
      <c r="J18" s="20">
        <f t="shared" si="0"/>
        <v>0</v>
      </c>
      <c r="K18" s="20">
        <f t="shared" si="1"/>
        <v>187827.35</v>
      </c>
    </row>
    <row r="19" spans="2:13" ht="18.75" x14ac:dyDescent="0.3">
      <c r="B19" s="22">
        <v>44262</v>
      </c>
      <c r="C19" s="21" t="s">
        <v>153</v>
      </c>
      <c r="D19" s="34"/>
      <c r="E19" s="18"/>
      <c r="F19" s="18"/>
      <c r="G19" s="18"/>
      <c r="H19" s="18">
        <v>200</v>
      </c>
      <c r="I19" s="19"/>
      <c r="J19" s="20">
        <f t="shared" si="0"/>
        <v>0</v>
      </c>
      <c r="K19" s="20">
        <f t="shared" si="1"/>
        <v>187627.35</v>
      </c>
    </row>
    <row r="20" spans="2:13" ht="18.75" x14ac:dyDescent="0.3">
      <c r="B20" s="22">
        <v>44262</v>
      </c>
      <c r="C20" s="21" t="s">
        <v>147</v>
      </c>
      <c r="D20" s="34"/>
      <c r="E20" s="18"/>
      <c r="F20" s="18"/>
      <c r="G20" s="18"/>
      <c r="H20" s="18">
        <v>200</v>
      </c>
      <c r="I20" s="19"/>
      <c r="J20" s="20">
        <f t="shared" si="0"/>
        <v>0</v>
      </c>
      <c r="K20" s="20">
        <f t="shared" si="1"/>
        <v>187427.35</v>
      </c>
    </row>
    <row r="21" spans="2:13" ht="18.75" x14ac:dyDescent="0.3">
      <c r="B21" s="22">
        <v>44262</v>
      </c>
      <c r="C21" s="21" t="s">
        <v>248</v>
      </c>
      <c r="D21" s="34"/>
      <c r="E21" s="18"/>
      <c r="F21" s="18"/>
      <c r="G21" s="18"/>
      <c r="H21" s="18">
        <v>85</v>
      </c>
      <c r="I21" s="19"/>
      <c r="J21" s="20">
        <f t="shared" si="0"/>
        <v>0</v>
      </c>
      <c r="K21" s="20">
        <f t="shared" si="1"/>
        <v>187342.35</v>
      </c>
    </row>
    <row r="22" spans="2:13" ht="18.75" x14ac:dyDescent="0.3">
      <c r="B22" s="22">
        <v>44262</v>
      </c>
      <c r="C22" s="21" t="s">
        <v>249</v>
      </c>
      <c r="D22" s="34"/>
      <c r="E22" s="18"/>
      <c r="F22" s="18"/>
      <c r="G22" s="18"/>
      <c r="H22" s="18">
        <v>80</v>
      </c>
      <c r="I22" s="19"/>
      <c r="J22" s="20">
        <f t="shared" si="0"/>
        <v>0</v>
      </c>
      <c r="K22" s="20">
        <f t="shared" si="1"/>
        <v>187262.35</v>
      </c>
    </row>
    <row r="23" spans="2:13" ht="18.75" x14ac:dyDescent="0.3">
      <c r="B23" s="22">
        <v>44262</v>
      </c>
      <c r="C23" s="21" t="s">
        <v>250</v>
      </c>
      <c r="D23" s="34"/>
      <c r="E23" s="18"/>
      <c r="F23" s="18"/>
      <c r="G23" s="18"/>
      <c r="H23" s="18">
        <v>400</v>
      </c>
      <c r="I23" s="19"/>
      <c r="J23" s="20">
        <f t="shared" si="0"/>
        <v>0</v>
      </c>
      <c r="K23" s="20">
        <f t="shared" si="1"/>
        <v>186862.35</v>
      </c>
    </row>
    <row r="24" spans="2:13" ht="18.75" x14ac:dyDescent="0.3">
      <c r="B24" s="22">
        <v>44262</v>
      </c>
      <c r="C24" s="21" t="s">
        <v>43</v>
      </c>
      <c r="D24" s="34">
        <v>53750</v>
      </c>
      <c r="E24" s="18"/>
      <c r="F24" s="18"/>
      <c r="G24" s="18"/>
      <c r="H24" s="18"/>
      <c r="I24" s="19"/>
      <c r="J24" s="20">
        <f t="shared" si="0"/>
        <v>0</v>
      </c>
      <c r="K24" s="20">
        <f t="shared" si="1"/>
        <v>240612.35</v>
      </c>
    </row>
    <row r="25" spans="2:13" ht="18.75" x14ac:dyDescent="0.3">
      <c r="B25" s="22">
        <v>44263</v>
      </c>
      <c r="C25" s="21" t="s">
        <v>251</v>
      </c>
      <c r="D25" s="34"/>
      <c r="E25" s="34"/>
      <c r="F25" s="18"/>
      <c r="G25" s="18"/>
      <c r="H25" s="18">
        <v>250</v>
      </c>
      <c r="I25" s="19"/>
      <c r="J25" s="20">
        <f t="shared" si="0"/>
        <v>0</v>
      </c>
      <c r="K25" s="20">
        <f t="shared" si="1"/>
        <v>240362.35</v>
      </c>
    </row>
    <row r="26" spans="2:13" ht="18.75" x14ac:dyDescent="0.3">
      <c r="B26" s="22">
        <v>44263</v>
      </c>
      <c r="C26" s="21" t="s">
        <v>252</v>
      </c>
      <c r="D26" s="34"/>
      <c r="E26" s="34"/>
      <c r="F26" s="18"/>
      <c r="G26" s="18"/>
      <c r="H26" s="18">
        <v>778</v>
      </c>
      <c r="I26" s="19"/>
      <c r="J26" s="20">
        <f t="shared" si="0"/>
        <v>0</v>
      </c>
      <c r="K26" s="20">
        <f t="shared" si="1"/>
        <v>239584.35</v>
      </c>
    </row>
    <row r="27" spans="2:13" ht="18.75" x14ac:dyDescent="0.3">
      <c r="B27" s="42">
        <v>44263</v>
      </c>
      <c r="C27" s="21" t="s">
        <v>253</v>
      </c>
      <c r="D27" s="34"/>
      <c r="E27" s="34"/>
      <c r="F27" s="18"/>
      <c r="G27" s="18"/>
      <c r="H27" s="18">
        <v>82</v>
      </c>
      <c r="I27" s="19"/>
      <c r="J27" s="20">
        <f t="shared" si="0"/>
        <v>0</v>
      </c>
      <c r="K27" s="20">
        <f t="shared" si="1"/>
        <v>239502.35</v>
      </c>
    </row>
    <row r="28" spans="2:13" ht="18.75" x14ac:dyDescent="0.3">
      <c r="B28" s="46">
        <v>44263</v>
      </c>
      <c r="C28" s="21" t="s">
        <v>254</v>
      </c>
      <c r="D28" s="34"/>
      <c r="E28" s="34"/>
      <c r="F28" s="34"/>
      <c r="G28" s="18"/>
      <c r="H28" s="18">
        <v>4200</v>
      </c>
      <c r="I28" s="19"/>
      <c r="J28" s="20">
        <f t="shared" si="0"/>
        <v>0</v>
      </c>
      <c r="K28" s="20">
        <f t="shared" si="1"/>
        <v>235302.35</v>
      </c>
    </row>
    <row r="29" spans="2:13" ht="18.75" x14ac:dyDescent="0.3">
      <c r="B29" s="44">
        <v>44264</v>
      </c>
      <c r="C29" s="33" t="s">
        <v>256</v>
      </c>
      <c r="D29" s="34"/>
      <c r="E29" s="34"/>
      <c r="F29" s="34"/>
      <c r="G29" s="34"/>
      <c r="H29" s="18">
        <v>300</v>
      </c>
      <c r="I29" s="19"/>
      <c r="J29" s="20">
        <f t="shared" si="0"/>
        <v>0</v>
      </c>
      <c r="K29" s="20">
        <f t="shared" si="1"/>
        <v>235002.35</v>
      </c>
    </row>
    <row r="30" spans="2:13" ht="18.75" x14ac:dyDescent="0.3">
      <c r="B30" s="42">
        <v>44264</v>
      </c>
      <c r="C30" s="33" t="s">
        <v>255</v>
      </c>
      <c r="D30" s="34"/>
      <c r="E30" s="18"/>
      <c r="F30" s="18"/>
      <c r="G30" s="18"/>
      <c r="H30" s="18">
        <v>26</v>
      </c>
      <c r="I30" s="19"/>
      <c r="J30" s="20">
        <f t="shared" si="0"/>
        <v>0</v>
      </c>
      <c r="K30" s="20">
        <f t="shared" si="1"/>
        <v>234976.35</v>
      </c>
    </row>
    <row r="31" spans="2:13" ht="18.75" x14ac:dyDescent="0.3">
      <c r="B31" s="42">
        <v>44264</v>
      </c>
      <c r="C31" s="43" t="s">
        <v>257</v>
      </c>
      <c r="D31" s="34"/>
      <c r="E31" s="18"/>
      <c r="F31" s="18"/>
      <c r="G31" s="18"/>
      <c r="H31" s="18">
        <v>100</v>
      </c>
      <c r="I31" s="19"/>
      <c r="J31" s="20">
        <f t="shared" si="0"/>
        <v>0</v>
      </c>
      <c r="K31" s="20">
        <f t="shared" si="1"/>
        <v>234876.35</v>
      </c>
    </row>
    <row r="32" spans="2:13" ht="18.75" x14ac:dyDescent="0.3">
      <c r="B32" s="42">
        <v>44264</v>
      </c>
      <c r="C32" s="33" t="s">
        <v>258</v>
      </c>
      <c r="D32" s="34"/>
      <c r="E32" s="18"/>
      <c r="F32" s="18"/>
      <c r="G32" s="18"/>
      <c r="H32" s="18">
        <v>1000</v>
      </c>
      <c r="I32" s="19"/>
      <c r="J32" s="20">
        <f t="shared" si="0"/>
        <v>0</v>
      </c>
      <c r="K32" s="20">
        <f t="shared" si="1"/>
        <v>233876.35</v>
      </c>
    </row>
    <row r="33" spans="2:11" ht="18.75" x14ac:dyDescent="0.3">
      <c r="B33" s="42">
        <v>44264</v>
      </c>
      <c r="C33" s="33" t="s">
        <v>259</v>
      </c>
      <c r="D33" s="34"/>
      <c r="E33" s="18"/>
      <c r="F33" s="18"/>
      <c r="G33" s="18"/>
      <c r="H33" s="18">
        <v>3500</v>
      </c>
      <c r="I33" s="19"/>
      <c r="J33" s="20">
        <f t="shared" si="0"/>
        <v>0</v>
      </c>
      <c r="K33" s="20">
        <f t="shared" si="1"/>
        <v>230376.35</v>
      </c>
    </row>
    <row r="34" spans="2:11" ht="18.75" x14ac:dyDescent="0.3">
      <c r="B34" s="42">
        <v>44265</v>
      </c>
      <c r="C34" s="43" t="s">
        <v>448</v>
      </c>
      <c r="D34" s="34"/>
      <c r="E34" s="18"/>
      <c r="F34" s="18"/>
      <c r="G34" s="18"/>
      <c r="H34" s="18">
        <v>3000</v>
      </c>
      <c r="I34" s="19"/>
      <c r="J34" s="20">
        <f t="shared" si="0"/>
        <v>0</v>
      </c>
      <c r="K34" s="20">
        <f t="shared" si="1"/>
        <v>227376.35</v>
      </c>
    </row>
    <row r="35" spans="2:11" ht="18.75" x14ac:dyDescent="0.3">
      <c r="B35" s="49">
        <v>44265</v>
      </c>
      <c r="C35" s="51" t="s">
        <v>260</v>
      </c>
      <c r="D35" s="34"/>
      <c r="E35" s="18"/>
      <c r="F35" s="18"/>
      <c r="G35" s="18"/>
      <c r="H35" s="18">
        <v>162.5</v>
      </c>
      <c r="I35" s="19"/>
      <c r="J35" s="20">
        <f t="shared" si="0"/>
        <v>0</v>
      </c>
      <c r="K35" s="20">
        <f t="shared" si="1"/>
        <v>227213.85</v>
      </c>
    </row>
    <row r="36" spans="2:11" ht="18.75" x14ac:dyDescent="0.3">
      <c r="B36" s="42">
        <v>44265</v>
      </c>
      <c r="C36" s="33" t="s">
        <v>260</v>
      </c>
      <c r="D36" s="34"/>
      <c r="E36" s="18"/>
      <c r="F36" s="18"/>
      <c r="G36" s="18"/>
      <c r="H36" s="18">
        <v>34</v>
      </c>
      <c r="I36" s="19"/>
      <c r="J36" s="20">
        <f t="shared" si="0"/>
        <v>0</v>
      </c>
      <c r="K36" s="20">
        <f t="shared" si="1"/>
        <v>227179.85</v>
      </c>
    </row>
    <row r="37" spans="2:11" ht="18.75" x14ac:dyDescent="0.3">
      <c r="B37" s="57">
        <v>44265</v>
      </c>
      <c r="C37" s="43" t="s">
        <v>261</v>
      </c>
      <c r="D37" s="34"/>
      <c r="E37" s="18"/>
      <c r="F37" s="18"/>
      <c r="G37" s="18"/>
      <c r="H37" s="18">
        <v>191</v>
      </c>
      <c r="I37" s="19"/>
      <c r="J37" s="20">
        <f t="shared" si="0"/>
        <v>0</v>
      </c>
      <c r="K37" s="20">
        <f t="shared" si="1"/>
        <v>226988.85</v>
      </c>
    </row>
    <row r="38" spans="2:11" ht="18.75" x14ac:dyDescent="0.3">
      <c r="B38" s="42">
        <v>44265</v>
      </c>
      <c r="C38" s="56" t="s">
        <v>261</v>
      </c>
      <c r="D38" s="34"/>
      <c r="E38" s="18"/>
      <c r="F38" s="18"/>
      <c r="G38" s="18"/>
      <c r="H38" s="18">
        <v>325.39999999999998</v>
      </c>
      <c r="I38" s="19"/>
      <c r="J38" s="20">
        <f t="shared" si="0"/>
        <v>0</v>
      </c>
      <c r="K38" s="20">
        <f t="shared" si="1"/>
        <v>226663.45</v>
      </c>
    </row>
    <row r="39" spans="2:11" ht="18.75" x14ac:dyDescent="0.3">
      <c r="B39" s="47">
        <v>44265</v>
      </c>
      <c r="C39" s="33" t="s">
        <v>262</v>
      </c>
      <c r="D39" s="34"/>
      <c r="E39" s="18"/>
      <c r="F39" s="18"/>
      <c r="G39" s="18"/>
      <c r="H39" s="18">
        <v>165</v>
      </c>
      <c r="I39" s="19"/>
      <c r="J39" s="20">
        <f t="shared" si="0"/>
        <v>0</v>
      </c>
      <c r="K39" s="20">
        <f t="shared" si="1"/>
        <v>226498.45</v>
      </c>
    </row>
    <row r="40" spans="2:11" ht="18.75" x14ac:dyDescent="0.3">
      <c r="B40" s="42">
        <v>44265</v>
      </c>
      <c r="C40" s="33" t="s">
        <v>263</v>
      </c>
      <c r="D40" s="34"/>
      <c r="E40" s="18"/>
      <c r="F40" s="18"/>
      <c r="G40" s="18"/>
      <c r="H40" s="18">
        <v>100</v>
      </c>
      <c r="I40" s="19"/>
      <c r="J40" s="20">
        <f t="shared" si="0"/>
        <v>0</v>
      </c>
      <c r="K40" s="20">
        <f t="shared" si="1"/>
        <v>226398.45</v>
      </c>
    </row>
    <row r="41" spans="2:11" ht="18.75" x14ac:dyDescent="0.3">
      <c r="B41" s="45">
        <v>44265</v>
      </c>
      <c r="C41" s="32" t="s">
        <v>264</v>
      </c>
      <c r="D41" s="34"/>
      <c r="E41" s="18"/>
      <c r="F41" s="18"/>
      <c r="G41" s="18"/>
      <c r="H41" s="18">
        <v>450</v>
      </c>
      <c r="I41" s="19"/>
      <c r="J41" s="20">
        <f t="shared" si="0"/>
        <v>0</v>
      </c>
      <c r="K41" s="20">
        <f t="shared" si="1"/>
        <v>225948.45</v>
      </c>
    </row>
    <row r="42" spans="2:11" ht="18.75" x14ac:dyDescent="0.3">
      <c r="B42" s="44">
        <v>44265</v>
      </c>
      <c r="C42" s="33" t="s">
        <v>265</v>
      </c>
      <c r="D42" s="34"/>
      <c r="E42" s="18"/>
      <c r="F42" s="18"/>
      <c r="G42" s="18"/>
      <c r="H42" s="18">
        <v>850</v>
      </c>
      <c r="I42" s="19"/>
      <c r="J42" s="20">
        <f t="shared" si="0"/>
        <v>0</v>
      </c>
      <c r="K42" s="20">
        <f t="shared" si="1"/>
        <v>225098.45</v>
      </c>
    </row>
    <row r="43" spans="2:11" ht="18.75" x14ac:dyDescent="0.3">
      <c r="B43" s="42">
        <v>44265</v>
      </c>
      <c r="C43" s="33" t="s">
        <v>266</v>
      </c>
      <c r="D43" s="34"/>
      <c r="E43" s="18"/>
      <c r="F43" s="18"/>
      <c r="G43" s="18"/>
      <c r="H43" s="18">
        <v>914.95</v>
      </c>
      <c r="I43" s="19"/>
      <c r="J43" s="20">
        <f t="shared" si="0"/>
        <v>0</v>
      </c>
      <c r="K43" s="20">
        <f t="shared" si="1"/>
        <v>224183.5</v>
      </c>
    </row>
    <row r="44" spans="2:11" ht="18.75" x14ac:dyDescent="0.3">
      <c r="B44" s="42">
        <v>44265</v>
      </c>
      <c r="C44" s="33" t="s">
        <v>266</v>
      </c>
      <c r="D44" s="34"/>
      <c r="E44" s="18"/>
      <c r="F44" s="18"/>
      <c r="G44" s="18"/>
      <c r="H44" s="18">
        <v>192</v>
      </c>
      <c r="I44" s="19"/>
      <c r="J44" s="20">
        <f t="shared" si="0"/>
        <v>0</v>
      </c>
      <c r="K44" s="20">
        <f t="shared" si="1"/>
        <v>223991.5</v>
      </c>
    </row>
    <row r="45" spans="2:11" ht="18.75" x14ac:dyDescent="0.3">
      <c r="B45" s="42">
        <v>44265</v>
      </c>
      <c r="C45" s="33" t="s">
        <v>267</v>
      </c>
      <c r="D45" s="34"/>
      <c r="E45" s="18"/>
      <c r="F45" s="18"/>
      <c r="G45" s="18"/>
      <c r="H45" s="18">
        <v>420.81</v>
      </c>
      <c r="I45" s="19"/>
      <c r="J45" s="20">
        <f t="shared" si="0"/>
        <v>0</v>
      </c>
      <c r="K45" s="20">
        <f t="shared" si="1"/>
        <v>223570.69</v>
      </c>
    </row>
    <row r="46" spans="2:11" ht="18.75" x14ac:dyDescent="0.3">
      <c r="B46" s="42">
        <v>44266</v>
      </c>
      <c r="C46" s="33" t="s">
        <v>268</v>
      </c>
      <c r="D46" s="34"/>
      <c r="E46" s="18"/>
      <c r="F46" s="18"/>
      <c r="G46" s="18"/>
      <c r="H46" s="18">
        <v>500</v>
      </c>
      <c r="I46" s="19"/>
      <c r="J46" s="20">
        <f t="shared" ref="J46:J47" si="2">+J45+E46-G46</f>
        <v>0</v>
      </c>
      <c r="K46" s="20">
        <f t="shared" ref="K46:K47" si="3">+K45+D46-H46</f>
        <v>223070.69</v>
      </c>
    </row>
    <row r="47" spans="2:11" ht="19.5" thickBot="1" x14ac:dyDescent="0.35">
      <c r="B47" s="42">
        <v>44266</v>
      </c>
      <c r="C47" s="33" t="s">
        <v>269</v>
      </c>
      <c r="D47" s="34"/>
      <c r="E47" s="18"/>
      <c r="F47" s="18"/>
      <c r="G47" s="18"/>
      <c r="H47" s="18">
        <v>223.9</v>
      </c>
      <c r="I47" s="19"/>
      <c r="J47" s="20">
        <f t="shared" si="2"/>
        <v>0</v>
      </c>
      <c r="K47" s="20">
        <f t="shared" si="3"/>
        <v>222846.79</v>
      </c>
    </row>
    <row r="48" spans="2:11" ht="19.5" thickBot="1" x14ac:dyDescent="0.35">
      <c r="B48" s="25"/>
      <c r="C48" s="26" t="s">
        <v>0</v>
      </c>
      <c r="D48" s="27">
        <f>SUM(D4:D46)</f>
        <v>53750</v>
      </c>
      <c r="E48" s="28">
        <f>SUM(E4:E46)</f>
        <v>0</v>
      </c>
      <c r="F48" s="29">
        <f>SUM(D48:E48)</f>
        <v>53750</v>
      </c>
      <c r="G48" s="30">
        <f>SUM(G4:G46)</f>
        <v>0</v>
      </c>
      <c r="H48" s="27">
        <f>SUM(H4:H47)</f>
        <v>23937.930000000004</v>
      </c>
      <c r="I48" s="29">
        <f>SUM(G48:H48)</f>
        <v>23937.930000000004</v>
      </c>
      <c r="J48" s="20"/>
      <c r="K48" s="2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53750</v>
      </c>
      <c r="E51" s="28">
        <v>0</v>
      </c>
      <c r="F51" s="29">
        <f>SUM(D51:E51)</f>
        <v>53750</v>
      </c>
      <c r="G51" s="30">
        <v>0</v>
      </c>
      <c r="H51" s="27">
        <v>23937.93</v>
      </c>
      <c r="I51" s="29">
        <f>SUM(G51:H51)</f>
        <v>23937.93</v>
      </c>
      <c r="J51" s="31">
        <v>0</v>
      </c>
      <c r="K51" s="31">
        <v>222846.79</v>
      </c>
    </row>
    <row r="52" spans="2:11" ht="18.75" x14ac:dyDescent="0.3">
      <c r="B52" s="42">
        <v>44267</v>
      </c>
      <c r="C52" s="33" t="s">
        <v>270</v>
      </c>
      <c r="D52" s="34"/>
      <c r="E52" s="18"/>
      <c r="F52" s="18"/>
      <c r="G52" s="18"/>
      <c r="H52" s="18">
        <v>82</v>
      </c>
      <c r="I52" s="19"/>
      <c r="J52" s="86">
        <f>+J46+E52-G52</f>
        <v>0</v>
      </c>
      <c r="K52" s="86">
        <f>+K51+D52-H52</f>
        <v>222764.79</v>
      </c>
    </row>
    <row r="53" spans="2:11" ht="18.75" x14ac:dyDescent="0.3">
      <c r="B53" s="42">
        <v>44267</v>
      </c>
      <c r="C53" s="17" t="s">
        <v>271</v>
      </c>
      <c r="D53" s="34"/>
      <c r="E53" s="18"/>
      <c r="F53" s="18"/>
      <c r="G53" s="18"/>
      <c r="H53" s="18">
        <v>80</v>
      </c>
      <c r="I53" s="19"/>
      <c r="J53" s="20">
        <f>+J52+E53-G53</f>
        <v>0</v>
      </c>
      <c r="K53" s="20">
        <f>+K52+D53-H53</f>
        <v>222684.79</v>
      </c>
    </row>
    <row r="54" spans="2:11" ht="18.75" x14ac:dyDescent="0.3">
      <c r="B54" s="22">
        <v>44267</v>
      </c>
      <c r="C54" s="21" t="s">
        <v>272</v>
      </c>
      <c r="D54" s="34"/>
      <c r="E54" s="18"/>
      <c r="F54" s="18"/>
      <c r="G54" s="18"/>
      <c r="H54" s="18">
        <v>300</v>
      </c>
      <c r="I54" s="19"/>
      <c r="J54" s="20">
        <f t="shared" ref="J54:J103" si="4">+J53+E54-G54</f>
        <v>0</v>
      </c>
      <c r="K54" s="20">
        <f t="shared" ref="K54:K103" si="5">+K53+D54-H54</f>
        <v>222384.79</v>
      </c>
    </row>
    <row r="55" spans="2:11" ht="18.75" x14ac:dyDescent="0.3">
      <c r="B55" s="42">
        <v>44267</v>
      </c>
      <c r="C55" s="33" t="s">
        <v>244</v>
      </c>
      <c r="D55" s="34"/>
      <c r="E55" s="34"/>
      <c r="F55" s="34"/>
      <c r="G55" s="34"/>
      <c r="H55" s="18">
        <v>400</v>
      </c>
      <c r="I55" s="19"/>
      <c r="J55" s="20">
        <f t="shared" si="4"/>
        <v>0</v>
      </c>
      <c r="K55" s="20">
        <f t="shared" si="5"/>
        <v>221984.79</v>
      </c>
    </row>
    <row r="56" spans="2:11" ht="18.75" x14ac:dyDescent="0.3">
      <c r="B56" s="46">
        <v>44267</v>
      </c>
      <c r="C56" s="33" t="s">
        <v>279</v>
      </c>
      <c r="D56" s="34"/>
      <c r="E56" s="18"/>
      <c r="F56" s="18"/>
      <c r="G56" s="18"/>
      <c r="H56" s="18">
        <v>1300</v>
      </c>
      <c r="I56" s="19"/>
      <c r="J56" s="20">
        <f t="shared" si="4"/>
        <v>0</v>
      </c>
      <c r="K56" s="20">
        <f t="shared" si="5"/>
        <v>220684.79</v>
      </c>
    </row>
    <row r="57" spans="2:11" ht="18.75" x14ac:dyDescent="0.3">
      <c r="B57" s="46">
        <v>44268</v>
      </c>
      <c r="C57" s="33" t="s">
        <v>273</v>
      </c>
      <c r="D57" s="34"/>
      <c r="E57" s="18"/>
      <c r="F57" s="18"/>
      <c r="G57" s="18"/>
      <c r="H57" s="18">
        <v>1800</v>
      </c>
      <c r="I57" s="19"/>
      <c r="J57" s="20">
        <f t="shared" si="4"/>
        <v>0</v>
      </c>
      <c r="K57" s="20">
        <f t="shared" si="5"/>
        <v>218884.79</v>
      </c>
    </row>
    <row r="58" spans="2:11" ht="18.75" x14ac:dyDescent="0.3">
      <c r="B58" s="44">
        <v>44268</v>
      </c>
      <c r="C58" s="33" t="s">
        <v>274</v>
      </c>
      <c r="D58" s="34"/>
      <c r="E58" s="18"/>
      <c r="F58" s="18"/>
      <c r="G58" s="18"/>
      <c r="H58" s="18">
        <v>900</v>
      </c>
      <c r="I58" s="19"/>
      <c r="J58" s="20">
        <f t="shared" si="4"/>
        <v>0</v>
      </c>
      <c r="K58" s="20">
        <f t="shared" si="5"/>
        <v>217984.79</v>
      </c>
    </row>
    <row r="59" spans="2:11" ht="18.75" x14ac:dyDescent="0.3">
      <c r="B59" s="46">
        <v>44268</v>
      </c>
      <c r="C59" s="33" t="s">
        <v>275</v>
      </c>
      <c r="D59" s="34"/>
      <c r="E59" s="18"/>
      <c r="F59" s="18"/>
      <c r="G59" s="18"/>
      <c r="H59" s="18">
        <v>7.5</v>
      </c>
      <c r="I59" s="19"/>
      <c r="J59" s="20">
        <f t="shared" si="4"/>
        <v>0</v>
      </c>
      <c r="K59" s="20">
        <f t="shared" si="5"/>
        <v>217977.29</v>
      </c>
    </row>
    <row r="60" spans="2:11" ht="18.75" x14ac:dyDescent="0.3">
      <c r="B60" s="47">
        <v>44268</v>
      </c>
      <c r="C60" s="43" t="s">
        <v>276</v>
      </c>
      <c r="D60" s="34"/>
      <c r="E60" s="34"/>
      <c r="F60" s="34"/>
      <c r="G60" s="34"/>
      <c r="H60" s="18">
        <v>246</v>
      </c>
      <c r="I60" s="19"/>
      <c r="J60" s="20">
        <f t="shared" si="4"/>
        <v>0</v>
      </c>
      <c r="K60" s="20">
        <f t="shared" si="5"/>
        <v>217731.29</v>
      </c>
    </row>
    <row r="61" spans="2:11" ht="18.75" x14ac:dyDescent="0.3">
      <c r="B61" s="47">
        <v>44269</v>
      </c>
      <c r="C61" s="21" t="s">
        <v>234</v>
      </c>
      <c r="D61" s="34"/>
      <c r="E61" s="34"/>
      <c r="F61" s="34"/>
      <c r="G61" s="34"/>
      <c r="H61" s="18">
        <v>100</v>
      </c>
      <c r="I61" s="19"/>
      <c r="J61" s="20">
        <f t="shared" si="4"/>
        <v>0</v>
      </c>
      <c r="K61" s="20">
        <f t="shared" si="5"/>
        <v>217631.29</v>
      </c>
    </row>
    <row r="62" spans="2:11" ht="18.75" x14ac:dyDescent="0.3">
      <c r="B62" s="47">
        <v>44269</v>
      </c>
      <c r="C62" s="54" t="s">
        <v>59</v>
      </c>
      <c r="D62" s="34"/>
      <c r="E62" s="34"/>
      <c r="F62" s="34"/>
      <c r="G62" s="34"/>
      <c r="H62" s="18">
        <v>200</v>
      </c>
      <c r="I62" s="19"/>
      <c r="J62" s="20">
        <f t="shared" si="4"/>
        <v>0</v>
      </c>
      <c r="K62" s="20">
        <f t="shared" si="5"/>
        <v>217431.29</v>
      </c>
    </row>
    <row r="63" spans="2:11" ht="18.75" x14ac:dyDescent="0.3">
      <c r="B63" s="22">
        <v>44269</v>
      </c>
      <c r="C63" s="43" t="s">
        <v>277</v>
      </c>
      <c r="D63" s="18"/>
      <c r="E63" s="18"/>
      <c r="F63" s="18"/>
      <c r="G63" s="18"/>
      <c r="H63" s="18">
        <v>120</v>
      </c>
      <c r="I63" s="19"/>
      <c r="J63" s="20">
        <f t="shared" si="4"/>
        <v>0</v>
      </c>
      <c r="K63" s="20">
        <f t="shared" si="5"/>
        <v>217311.29</v>
      </c>
    </row>
    <row r="64" spans="2:11" ht="18.75" x14ac:dyDescent="0.3">
      <c r="B64" s="42">
        <v>44269</v>
      </c>
      <c r="C64" s="43" t="s">
        <v>235</v>
      </c>
      <c r="D64" s="18">
        <v>24750</v>
      </c>
      <c r="E64" s="18"/>
      <c r="F64" s="18"/>
      <c r="G64" s="18"/>
      <c r="H64" s="18"/>
      <c r="I64" s="19"/>
      <c r="J64" s="20">
        <f t="shared" si="4"/>
        <v>0</v>
      </c>
      <c r="K64" s="20">
        <f t="shared" si="5"/>
        <v>242061.29</v>
      </c>
    </row>
    <row r="65" spans="2:13" ht="18.75" x14ac:dyDescent="0.3">
      <c r="B65" s="44">
        <v>44270</v>
      </c>
      <c r="C65" s="43" t="s">
        <v>244</v>
      </c>
      <c r="D65" s="34"/>
      <c r="E65" s="18"/>
      <c r="F65" s="18"/>
      <c r="G65" s="18"/>
      <c r="H65" s="18">
        <v>400</v>
      </c>
      <c r="I65" s="19"/>
      <c r="J65" s="20">
        <f t="shared" si="4"/>
        <v>0</v>
      </c>
      <c r="K65" s="20">
        <f t="shared" si="5"/>
        <v>241661.29</v>
      </c>
    </row>
    <row r="66" spans="2:13" ht="18.75" x14ac:dyDescent="0.3">
      <c r="B66" s="44">
        <v>44270</v>
      </c>
      <c r="C66" s="43" t="s">
        <v>236</v>
      </c>
      <c r="D66" s="34"/>
      <c r="E66" s="18"/>
      <c r="F66" s="18"/>
      <c r="G66" s="18"/>
      <c r="H66" s="18">
        <v>300</v>
      </c>
      <c r="I66" s="19"/>
      <c r="J66" s="20">
        <f t="shared" si="4"/>
        <v>0</v>
      </c>
      <c r="K66" s="20">
        <f t="shared" si="5"/>
        <v>241361.29</v>
      </c>
    </row>
    <row r="67" spans="2:13" ht="18.75" x14ac:dyDescent="0.3">
      <c r="B67" s="42">
        <v>44270</v>
      </c>
      <c r="C67" s="54" t="s">
        <v>278</v>
      </c>
      <c r="D67" s="34"/>
      <c r="E67" s="18"/>
      <c r="F67" s="18"/>
      <c r="G67" s="18"/>
      <c r="H67" s="18">
        <v>100</v>
      </c>
      <c r="I67" s="19"/>
      <c r="J67" s="20">
        <f t="shared" si="4"/>
        <v>0</v>
      </c>
      <c r="K67" s="20">
        <f t="shared" si="5"/>
        <v>241261.29</v>
      </c>
    </row>
    <row r="68" spans="2:13" ht="18.75" x14ac:dyDescent="0.3">
      <c r="B68" s="46">
        <v>44270</v>
      </c>
      <c r="C68" s="33" t="s">
        <v>170</v>
      </c>
      <c r="D68" s="34"/>
      <c r="E68" s="18"/>
      <c r="F68" s="18"/>
      <c r="G68" s="18"/>
      <c r="H68" s="18">
        <v>250</v>
      </c>
      <c r="I68" s="19"/>
      <c r="J68" s="20">
        <f t="shared" si="4"/>
        <v>0</v>
      </c>
      <c r="K68" s="20">
        <f t="shared" si="5"/>
        <v>241011.29</v>
      </c>
    </row>
    <row r="69" spans="2:13" ht="18.75" x14ac:dyDescent="0.3">
      <c r="B69" s="44">
        <v>44270</v>
      </c>
      <c r="C69" s="33" t="s">
        <v>171</v>
      </c>
      <c r="D69" s="34"/>
      <c r="E69" s="18"/>
      <c r="F69" s="18"/>
      <c r="G69" s="18"/>
      <c r="H69" s="18">
        <v>300</v>
      </c>
      <c r="I69" s="19"/>
      <c r="J69" s="20">
        <f t="shared" si="4"/>
        <v>0</v>
      </c>
      <c r="K69" s="20">
        <f t="shared" si="5"/>
        <v>240711.29</v>
      </c>
    </row>
    <row r="70" spans="2:13" ht="18.75" x14ac:dyDescent="0.3">
      <c r="B70" s="46">
        <v>44270</v>
      </c>
      <c r="C70" s="33" t="s">
        <v>172</v>
      </c>
      <c r="D70" s="34"/>
      <c r="E70" s="18"/>
      <c r="F70" s="18"/>
      <c r="G70" s="18"/>
      <c r="H70" s="18">
        <v>650</v>
      </c>
      <c r="I70" s="19"/>
      <c r="J70" s="20">
        <f t="shared" si="4"/>
        <v>0</v>
      </c>
      <c r="K70" s="20">
        <f t="shared" si="5"/>
        <v>240061.29</v>
      </c>
    </row>
    <row r="71" spans="2:13" ht="18.75" x14ac:dyDescent="0.3">
      <c r="B71" s="47">
        <v>44270</v>
      </c>
      <c r="C71" s="43" t="s">
        <v>230</v>
      </c>
      <c r="D71" s="34"/>
      <c r="E71" s="34"/>
      <c r="F71" s="34"/>
      <c r="G71" s="34"/>
      <c r="H71" s="18">
        <v>3000</v>
      </c>
      <c r="I71" s="19"/>
      <c r="J71" s="20">
        <f t="shared" si="4"/>
        <v>0</v>
      </c>
      <c r="K71" s="20">
        <f t="shared" si="5"/>
        <v>237061.29</v>
      </c>
    </row>
    <row r="72" spans="2:13" ht="18.75" x14ac:dyDescent="0.3">
      <c r="B72" s="47">
        <v>44270</v>
      </c>
      <c r="C72" s="21" t="s">
        <v>231</v>
      </c>
      <c r="D72" s="34"/>
      <c r="E72" s="34"/>
      <c r="F72" s="34"/>
      <c r="G72" s="34"/>
      <c r="H72" s="18">
        <v>3400</v>
      </c>
      <c r="I72" s="19"/>
      <c r="J72" s="20">
        <f t="shared" si="4"/>
        <v>0</v>
      </c>
      <c r="K72" s="20">
        <f t="shared" si="5"/>
        <v>233661.29</v>
      </c>
    </row>
    <row r="73" spans="2:13" ht="18.75" x14ac:dyDescent="0.3">
      <c r="B73" s="47">
        <v>44270</v>
      </c>
      <c r="C73" s="54" t="s">
        <v>81</v>
      </c>
      <c r="D73" s="34"/>
      <c r="E73" s="34"/>
      <c r="F73" s="34"/>
      <c r="G73" s="34"/>
      <c r="H73" s="18">
        <v>5000</v>
      </c>
      <c r="I73" s="19"/>
      <c r="J73" s="20">
        <f t="shared" si="4"/>
        <v>0</v>
      </c>
      <c r="K73" s="20">
        <f t="shared" si="5"/>
        <v>228661.29</v>
      </c>
    </row>
    <row r="74" spans="2:13" ht="18.75" x14ac:dyDescent="0.3">
      <c r="B74" s="22">
        <v>44270</v>
      </c>
      <c r="C74" s="43" t="s">
        <v>82</v>
      </c>
      <c r="D74" s="18"/>
      <c r="E74" s="18"/>
      <c r="F74" s="18"/>
      <c r="G74" s="18"/>
      <c r="H74" s="18">
        <v>6000</v>
      </c>
      <c r="I74" s="19"/>
      <c r="J74" s="20">
        <f t="shared" si="4"/>
        <v>0</v>
      </c>
      <c r="K74" s="20">
        <f t="shared" si="5"/>
        <v>222661.29</v>
      </c>
    </row>
    <row r="75" spans="2:13" ht="18.75" x14ac:dyDescent="0.3">
      <c r="B75" s="42">
        <v>44270</v>
      </c>
      <c r="C75" s="43" t="s">
        <v>83</v>
      </c>
      <c r="D75" s="18"/>
      <c r="E75" s="18"/>
      <c r="F75" s="18"/>
      <c r="G75" s="18"/>
      <c r="H75" s="18">
        <v>29250</v>
      </c>
      <c r="I75" s="19"/>
      <c r="J75" s="20">
        <f t="shared" si="4"/>
        <v>0</v>
      </c>
      <c r="K75" s="20">
        <f t="shared" si="5"/>
        <v>193411.29</v>
      </c>
    </row>
    <row r="76" spans="2:13" ht="18.75" x14ac:dyDescent="0.3">
      <c r="B76" s="44">
        <v>44270</v>
      </c>
      <c r="C76" s="43" t="s">
        <v>84</v>
      </c>
      <c r="D76" s="34"/>
      <c r="E76" s="18"/>
      <c r="F76" s="18"/>
      <c r="G76" s="18"/>
      <c r="H76" s="18">
        <v>5650</v>
      </c>
      <c r="I76" s="19"/>
      <c r="J76" s="20">
        <f t="shared" si="4"/>
        <v>0</v>
      </c>
      <c r="K76" s="20">
        <f t="shared" si="5"/>
        <v>187761.29</v>
      </c>
    </row>
    <row r="77" spans="2:13" ht="18.75" x14ac:dyDescent="0.3">
      <c r="B77" s="47">
        <v>44271</v>
      </c>
      <c r="C77" s="43" t="s">
        <v>281</v>
      </c>
      <c r="D77" s="34"/>
      <c r="E77" s="18"/>
      <c r="F77" s="18"/>
      <c r="G77" s="18"/>
      <c r="H77" s="18">
        <v>283</v>
      </c>
      <c r="I77" s="19"/>
      <c r="J77" s="20">
        <f t="shared" si="4"/>
        <v>0</v>
      </c>
      <c r="K77" s="20">
        <f t="shared" si="5"/>
        <v>187478.29</v>
      </c>
    </row>
    <row r="78" spans="2:13" ht="18.75" x14ac:dyDescent="0.3">
      <c r="B78" s="47">
        <v>44272</v>
      </c>
      <c r="C78" s="43" t="s">
        <v>282</v>
      </c>
      <c r="D78" s="34"/>
      <c r="E78" s="18"/>
      <c r="F78" s="18"/>
      <c r="G78" s="18"/>
      <c r="H78" s="18">
        <v>41</v>
      </c>
      <c r="I78" s="19"/>
      <c r="J78" s="20">
        <f t="shared" si="4"/>
        <v>0</v>
      </c>
      <c r="K78" s="20">
        <f t="shared" si="5"/>
        <v>187437.29</v>
      </c>
      <c r="M78" t="s">
        <v>232</v>
      </c>
    </row>
    <row r="79" spans="2:13" ht="18.75" x14ac:dyDescent="0.3">
      <c r="B79" s="47">
        <v>44273</v>
      </c>
      <c r="C79" s="21" t="s">
        <v>283</v>
      </c>
      <c r="D79" s="34"/>
      <c r="E79" s="18"/>
      <c r="F79" s="18"/>
      <c r="G79" s="18"/>
      <c r="H79" s="18">
        <v>600</v>
      </c>
      <c r="I79" s="19"/>
      <c r="J79" s="20">
        <f t="shared" si="4"/>
        <v>0</v>
      </c>
      <c r="K79" s="20">
        <f t="shared" si="5"/>
        <v>186837.29</v>
      </c>
      <c r="M79" t="s">
        <v>233</v>
      </c>
    </row>
    <row r="80" spans="2:13" ht="18.75" x14ac:dyDescent="0.3">
      <c r="B80" s="47">
        <v>44273</v>
      </c>
      <c r="C80" s="43" t="s">
        <v>284</v>
      </c>
      <c r="D80" s="34"/>
      <c r="E80" s="18"/>
      <c r="F80" s="18"/>
      <c r="G80" s="18"/>
      <c r="H80" s="18">
        <v>200</v>
      </c>
      <c r="I80" s="19"/>
      <c r="J80" s="20">
        <f t="shared" si="4"/>
        <v>0</v>
      </c>
      <c r="K80" s="20">
        <f t="shared" si="5"/>
        <v>186637.29</v>
      </c>
    </row>
    <row r="81" spans="1:11" ht="18.75" x14ac:dyDescent="0.3">
      <c r="B81" s="47">
        <v>44274</v>
      </c>
      <c r="C81" s="43" t="s">
        <v>280</v>
      </c>
      <c r="D81" s="34"/>
      <c r="E81" s="18"/>
      <c r="F81" s="18"/>
      <c r="G81" s="18"/>
      <c r="H81" s="18">
        <v>300</v>
      </c>
      <c r="I81" s="19"/>
      <c r="J81" s="20">
        <f t="shared" si="4"/>
        <v>0</v>
      </c>
      <c r="K81" s="20">
        <f t="shared" si="5"/>
        <v>186337.29</v>
      </c>
    </row>
    <row r="82" spans="1:11" ht="18.75" x14ac:dyDescent="0.3">
      <c r="B82" s="47">
        <v>44275</v>
      </c>
      <c r="C82" s="43" t="s">
        <v>285</v>
      </c>
      <c r="D82" s="34"/>
      <c r="E82" s="18"/>
      <c r="F82" s="18"/>
      <c r="G82" s="18"/>
      <c r="H82" s="18">
        <v>100</v>
      </c>
      <c r="I82" s="19"/>
      <c r="J82" s="20">
        <f t="shared" si="4"/>
        <v>0</v>
      </c>
      <c r="K82" s="20">
        <f t="shared" si="5"/>
        <v>186237.29</v>
      </c>
    </row>
    <row r="83" spans="1:11" ht="18.75" x14ac:dyDescent="0.3">
      <c r="B83" s="47">
        <v>44275</v>
      </c>
      <c r="C83" s="43" t="s">
        <v>264</v>
      </c>
      <c r="D83" s="34"/>
      <c r="E83" s="18"/>
      <c r="F83" s="18"/>
      <c r="G83" s="18"/>
      <c r="H83" s="18">
        <v>500</v>
      </c>
      <c r="I83" s="19"/>
      <c r="J83" s="20">
        <f t="shared" si="4"/>
        <v>0</v>
      </c>
      <c r="K83" s="20">
        <f t="shared" si="5"/>
        <v>185737.29</v>
      </c>
    </row>
    <row r="84" spans="1:11" ht="18.75" x14ac:dyDescent="0.3">
      <c r="B84" s="47">
        <v>44276</v>
      </c>
      <c r="C84" s="43" t="s">
        <v>94</v>
      </c>
      <c r="D84" s="34"/>
      <c r="E84" s="18"/>
      <c r="F84" s="18"/>
      <c r="G84" s="18"/>
      <c r="H84" s="18">
        <v>100</v>
      </c>
      <c r="I84" s="19"/>
      <c r="J84" s="20">
        <f t="shared" si="4"/>
        <v>0</v>
      </c>
      <c r="K84" s="20">
        <f t="shared" si="5"/>
        <v>185637.29</v>
      </c>
    </row>
    <row r="85" spans="1:11" ht="18.75" x14ac:dyDescent="0.3">
      <c r="B85" s="47">
        <v>44276</v>
      </c>
      <c r="C85" s="43" t="s">
        <v>181</v>
      </c>
      <c r="D85" s="34"/>
      <c r="E85" s="18"/>
      <c r="F85" s="18"/>
      <c r="G85" s="18"/>
      <c r="H85" s="18">
        <v>200</v>
      </c>
      <c r="I85" s="19"/>
      <c r="J85" s="20">
        <f t="shared" si="4"/>
        <v>0</v>
      </c>
      <c r="K85" s="20">
        <f t="shared" si="5"/>
        <v>185437.29</v>
      </c>
    </row>
    <row r="86" spans="1:11" ht="18.75" x14ac:dyDescent="0.3">
      <c r="B86" s="48">
        <v>44276</v>
      </c>
      <c r="C86" s="21" t="s">
        <v>286</v>
      </c>
      <c r="D86" s="34"/>
      <c r="E86" s="18"/>
      <c r="F86" s="18"/>
      <c r="G86" s="18"/>
      <c r="H86" s="18">
        <v>200</v>
      </c>
      <c r="I86" s="19"/>
      <c r="J86" s="20">
        <f t="shared" si="4"/>
        <v>0</v>
      </c>
      <c r="K86" s="20">
        <f t="shared" si="5"/>
        <v>185237.29</v>
      </c>
    </row>
    <row r="87" spans="1:11" ht="18.75" x14ac:dyDescent="0.3">
      <c r="A87" s="55"/>
      <c r="B87" s="48">
        <v>44276</v>
      </c>
      <c r="C87" s="21" t="s">
        <v>287</v>
      </c>
      <c r="D87" s="34"/>
      <c r="E87" s="18"/>
      <c r="F87" s="18"/>
      <c r="G87" s="18"/>
      <c r="H87" s="18">
        <v>300</v>
      </c>
      <c r="I87" s="19"/>
      <c r="J87" s="20">
        <f t="shared" si="4"/>
        <v>0</v>
      </c>
      <c r="K87" s="20">
        <f t="shared" si="5"/>
        <v>184937.29</v>
      </c>
    </row>
    <row r="88" spans="1:11" ht="18.75" x14ac:dyDescent="0.3">
      <c r="B88" s="48">
        <v>44276</v>
      </c>
      <c r="C88" s="17" t="s">
        <v>90</v>
      </c>
      <c r="D88" s="34">
        <v>16900</v>
      </c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201837.29</v>
      </c>
    </row>
    <row r="89" spans="1:11" ht="18.75" x14ac:dyDescent="0.3">
      <c r="B89" s="48">
        <v>44277</v>
      </c>
      <c r="C89" s="17" t="s">
        <v>288</v>
      </c>
      <c r="D89" s="34"/>
      <c r="E89" s="18"/>
      <c r="F89" s="18"/>
      <c r="G89" s="18"/>
      <c r="H89" s="18">
        <v>390</v>
      </c>
      <c r="I89" s="19"/>
      <c r="J89" s="20">
        <f t="shared" si="4"/>
        <v>0</v>
      </c>
      <c r="K89" s="20">
        <f t="shared" si="5"/>
        <v>201447.29</v>
      </c>
    </row>
    <row r="90" spans="1:11" ht="18.75" x14ac:dyDescent="0.3">
      <c r="B90" s="49">
        <v>44277</v>
      </c>
      <c r="C90" s="17" t="s">
        <v>239</v>
      </c>
      <c r="D90" s="50"/>
      <c r="E90" s="18"/>
      <c r="F90" s="18"/>
      <c r="G90" s="18"/>
      <c r="H90" s="18">
        <v>80</v>
      </c>
      <c r="I90" s="19"/>
      <c r="J90" s="20">
        <f t="shared" si="4"/>
        <v>0</v>
      </c>
      <c r="K90" s="20">
        <f t="shared" si="5"/>
        <v>201367.29</v>
      </c>
    </row>
    <row r="91" spans="1:11" ht="18.75" x14ac:dyDescent="0.3">
      <c r="B91" s="49">
        <v>44278</v>
      </c>
      <c r="C91" s="21" t="s">
        <v>289</v>
      </c>
      <c r="D91" s="34"/>
      <c r="E91" s="18"/>
      <c r="F91" s="18"/>
      <c r="G91" s="18"/>
      <c r="H91" s="18">
        <v>800</v>
      </c>
      <c r="I91" s="19"/>
      <c r="J91" s="20">
        <f t="shared" si="4"/>
        <v>0</v>
      </c>
      <c r="K91" s="20">
        <f t="shared" si="5"/>
        <v>200567.29</v>
      </c>
    </row>
    <row r="92" spans="1:11" ht="18.75" x14ac:dyDescent="0.3">
      <c r="B92" s="49">
        <v>44278</v>
      </c>
      <c r="C92" s="21" t="s">
        <v>290</v>
      </c>
      <c r="D92" s="34"/>
      <c r="E92" s="18"/>
      <c r="F92" s="18"/>
      <c r="G92" s="18"/>
      <c r="H92" s="18">
        <v>1299</v>
      </c>
      <c r="I92" s="19"/>
      <c r="J92" s="20">
        <f t="shared" si="4"/>
        <v>0</v>
      </c>
      <c r="K92" s="20">
        <f t="shared" si="5"/>
        <v>199268.29</v>
      </c>
    </row>
    <row r="93" spans="1:11" ht="18.75" x14ac:dyDescent="0.3">
      <c r="B93" s="49">
        <v>44278</v>
      </c>
      <c r="C93" s="21" t="s">
        <v>290</v>
      </c>
      <c r="D93" s="34"/>
      <c r="E93" s="18"/>
      <c r="F93" s="18"/>
      <c r="G93" s="18"/>
      <c r="H93" s="18">
        <v>1299</v>
      </c>
      <c r="I93" s="19"/>
      <c r="J93" s="20">
        <f t="shared" si="4"/>
        <v>0</v>
      </c>
      <c r="K93" s="20">
        <f t="shared" si="5"/>
        <v>197969.29</v>
      </c>
    </row>
    <row r="94" spans="1:11" ht="18.75" x14ac:dyDescent="0.3">
      <c r="B94" s="49">
        <v>44278</v>
      </c>
      <c r="C94" s="21" t="s">
        <v>291</v>
      </c>
      <c r="D94" s="34"/>
      <c r="E94" s="18"/>
      <c r="F94" s="34"/>
      <c r="G94" s="18"/>
      <c r="H94" s="18">
        <v>150</v>
      </c>
      <c r="I94" s="19"/>
      <c r="J94" s="20">
        <f t="shared" si="4"/>
        <v>0</v>
      </c>
      <c r="K94" s="20">
        <f t="shared" si="5"/>
        <v>197819.29</v>
      </c>
    </row>
    <row r="95" spans="1:11" ht="19.5" thickBot="1" x14ac:dyDescent="0.35">
      <c r="B95" s="49">
        <v>44278</v>
      </c>
      <c r="C95" s="21" t="s">
        <v>292</v>
      </c>
      <c r="D95" s="34"/>
      <c r="E95" s="18"/>
      <c r="F95" s="34"/>
      <c r="G95" s="18"/>
      <c r="H95" s="18">
        <v>43</v>
      </c>
      <c r="I95" s="19"/>
      <c r="J95" s="20">
        <f t="shared" ref="J95" si="6">+J94+E95-G95</f>
        <v>0</v>
      </c>
      <c r="K95" s="20">
        <f t="shared" ref="K95" si="7">+K94+D95-H95</f>
        <v>197776.29</v>
      </c>
    </row>
    <row r="96" spans="1:11" ht="19.5" thickBot="1" x14ac:dyDescent="0.35">
      <c r="B96" s="25"/>
      <c r="C96" s="26" t="s">
        <v>0</v>
      </c>
      <c r="D96" s="27">
        <f>SUM(D51:D94)</f>
        <v>95400</v>
      </c>
      <c r="E96" s="28">
        <f>SUM(E51:E94)</f>
        <v>0</v>
      </c>
      <c r="F96" s="29">
        <f>SUM(D96:E96)</f>
        <v>95400</v>
      </c>
      <c r="G96" s="30">
        <f>SUM(G51:G94)</f>
        <v>0</v>
      </c>
      <c r="H96" s="27">
        <f>SUM(H51:H95)</f>
        <v>90658.43</v>
      </c>
      <c r="I96" s="29">
        <f>SUM(G96:H96)</f>
        <v>90658.43</v>
      </c>
      <c r="J96" s="20"/>
      <c r="K96" s="20"/>
    </row>
    <row r="97" spans="2:13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3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3" ht="19.5" thickBot="1" x14ac:dyDescent="0.35">
      <c r="B99" s="25"/>
      <c r="C99" s="26"/>
      <c r="D99" s="27">
        <v>95400</v>
      </c>
      <c r="E99" s="28">
        <v>0</v>
      </c>
      <c r="F99" s="29">
        <f>SUM(D99:E99)</f>
        <v>95400</v>
      </c>
      <c r="G99" s="30">
        <v>0</v>
      </c>
      <c r="H99" s="27">
        <v>90658.43</v>
      </c>
      <c r="I99" s="29">
        <f>SUM(G99:H99)</f>
        <v>90658.43</v>
      </c>
      <c r="J99" s="31">
        <v>0</v>
      </c>
      <c r="K99" s="31">
        <v>197776.29</v>
      </c>
    </row>
    <row r="100" spans="2:13" ht="18.75" x14ac:dyDescent="0.3">
      <c r="B100" s="49">
        <v>44278</v>
      </c>
      <c r="C100" s="21" t="s">
        <v>68</v>
      </c>
      <c r="D100" s="34"/>
      <c r="E100" s="18"/>
      <c r="F100" s="34"/>
      <c r="G100" s="18"/>
      <c r="H100" s="23">
        <v>114.8</v>
      </c>
      <c r="I100" s="19"/>
      <c r="J100" s="86">
        <f>+J94+E100-G100</f>
        <v>0</v>
      </c>
      <c r="K100" s="86">
        <f>+K99+D100-H100</f>
        <v>197661.49000000002</v>
      </c>
    </row>
    <row r="101" spans="2:13" ht="18.75" x14ac:dyDescent="0.3">
      <c r="B101" s="49">
        <v>44278</v>
      </c>
      <c r="C101" s="21" t="s">
        <v>293</v>
      </c>
      <c r="D101" s="34"/>
      <c r="E101" s="18"/>
      <c r="F101" s="34"/>
      <c r="G101" s="18"/>
      <c r="H101" s="23">
        <v>500</v>
      </c>
      <c r="I101" s="19"/>
      <c r="J101" s="20">
        <f t="shared" si="4"/>
        <v>0</v>
      </c>
      <c r="K101" s="20">
        <f t="shared" si="5"/>
        <v>197161.49000000002</v>
      </c>
      <c r="M101" s="85"/>
    </row>
    <row r="102" spans="2:13" ht="18.75" x14ac:dyDescent="0.3">
      <c r="B102" s="49">
        <v>44278</v>
      </c>
      <c r="C102" s="21" t="s">
        <v>284</v>
      </c>
      <c r="D102" s="34"/>
      <c r="E102" s="18"/>
      <c r="F102" s="34"/>
      <c r="G102" s="18"/>
      <c r="H102" s="23">
        <v>170</v>
      </c>
      <c r="I102" s="19"/>
      <c r="J102" s="20">
        <f t="shared" si="4"/>
        <v>0</v>
      </c>
      <c r="K102" s="20">
        <f t="shared" si="5"/>
        <v>196991.49000000002</v>
      </c>
    </row>
    <row r="103" spans="2:13" ht="18.75" x14ac:dyDescent="0.3">
      <c r="B103" s="49">
        <v>44279</v>
      </c>
      <c r="C103" s="17" t="s">
        <v>294</v>
      </c>
      <c r="D103" s="34"/>
      <c r="E103" s="34"/>
      <c r="F103" s="34"/>
      <c r="G103" s="18"/>
      <c r="H103" s="23">
        <v>500</v>
      </c>
      <c r="I103" s="19"/>
      <c r="J103" s="20">
        <f t="shared" si="4"/>
        <v>0</v>
      </c>
      <c r="K103" s="20">
        <f t="shared" si="5"/>
        <v>196491.49000000002</v>
      </c>
      <c r="M103" s="84">
        <v>4150</v>
      </c>
    </row>
    <row r="104" spans="2:13" ht="18.75" x14ac:dyDescent="0.3">
      <c r="B104" s="49">
        <v>44279</v>
      </c>
      <c r="C104" s="17" t="s">
        <v>270</v>
      </c>
      <c r="D104" s="34"/>
      <c r="E104" s="34"/>
      <c r="F104" s="34"/>
      <c r="G104" s="18"/>
      <c r="H104" s="23">
        <v>82</v>
      </c>
      <c r="I104" s="19"/>
      <c r="J104" s="20">
        <f t="shared" ref="J104:J106" si="8">+J103+E104-G104</f>
        <v>0</v>
      </c>
      <c r="K104" s="20">
        <f t="shared" ref="K104:K106" si="9">+K103+D104-H104</f>
        <v>196409.49000000002</v>
      </c>
    </row>
    <row r="105" spans="2:13" ht="18.75" x14ac:dyDescent="0.3">
      <c r="B105" s="49">
        <v>44280</v>
      </c>
      <c r="C105" s="17" t="s">
        <v>297</v>
      </c>
      <c r="D105" s="34"/>
      <c r="E105" s="34"/>
      <c r="F105" s="34"/>
      <c r="G105" s="18"/>
      <c r="H105" s="23">
        <v>500</v>
      </c>
      <c r="I105" s="19"/>
      <c r="J105" s="20">
        <f t="shared" si="8"/>
        <v>0</v>
      </c>
      <c r="K105" s="20">
        <f t="shared" si="9"/>
        <v>195909.49000000002</v>
      </c>
    </row>
    <row r="106" spans="2:13" ht="18.75" x14ac:dyDescent="0.3">
      <c r="B106" s="49">
        <v>44280</v>
      </c>
      <c r="C106" s="17" t="s">
        <v>152</v>
      </c>
      <c r="D106" s="34"/>
      <c r="E106" s="34"/>
      <c r="F106" s="34"/>
      <c r="G106" s="18"/>
      <c r="H106" s="23">
        <v>75.5</v>
      </c>
      <c r="I106" s="19"/>
      <c r="J106" s="20">
        <f t="shared" si="8"/>
        <v>0</v>
      </c>
      <c r="K106" s="20">
        <f t="shared" si="9"/>
        <v>195833.99000000002</v>
      </c>
    </row>
    <row r="107" spans="2:13" ht="18.75" x14ac:dyDescent="0.3">
      <c r="B107" s="49">
        <v>44280</v>
      </c>
      <c r="C107" s="17" t="s">
        <v>298</v>
      </c>
      <c r="D107" s="34"/>
      <c r="E107" s="34"/>
      <c r="F107" s="34"/>
      <c r="G107" s="18"/>
      <c r="H107" s="23">
        <v>500</v>
      </c>
      <c r="I107" s="19"/>
      <c r="J107" s="20">
        <f t="shared" ref="J107:J117" si="10">+J106+E107-G107</f>
        <v>0</v>
      </c>
      <c r="K107" s="20">
        <f t="shared" ref="K107:K117" si="11">+K106+D107-H107</f>
        <v>195333.99000000002</v>
      </c>
    </row>
    <row r="108" spans="2:13" ht="18.75" x14ac:dyDescent="0.3">
      <c r="B108" s="49">
        <v>44280</v>
      </c>
      <c r="C108" s="17" t="s">
        <v>299</v>
      </c>
      <c r="D108" s="34"/>
      <c r="E108" s="34"/>
      <c r="F108" s="34"/>
      <c r="G108" s="18"/>
      <c r="H108" s="23">
        <v>600</v>
      </c>
      <c r="I108" s="19"/>
      <c r="J108" s="20">
        <f t="shared" si="10"/>
        <v>0</v>
      </c>
      <c r="K108" s="20">
        <f t="shared" si="11"/>
        <v>194733.99000000002</v>
      </c>
    </row>
    <row r="109" spans="2:13" ht="18.75" x14ac:dyDescent="0.3">
      <c r="B109" s="49">
        <v>44280</v>
      </c>
      <c r="C109" s="17" t="s">
        <v>244</v>
      </c>
      <c r="D109" s="34"/>
      <c r="E109" s="34"/>
      <c r="F109" s="34"/>
      <c r="G109" s="18"/>
      <c r="H109" s="23">
        <v>450</v>
      </c>
      <c r="I109" s="19"/>
      <c r="J109" s="20">
        <f t="shared" si="10"/>
        <v>0</v>
      </c>
      <c r="K109" s="20">
        <f t="shared" si="11"/>
        <v>194283.99000000002</v>
      </c>
    </row>
    <row r="110" spans="2:13" ht="18.75" x14ac:dyDescent="0.3">
      <c r="B110" s="49">
        <v>44280</v>
      </c>
      <c r="C110" s="17" t="s">
        <v>275</v>
      </c>
      <c r="D110" s="34"/>
      <c r="E110" s="34"/>
      <c r="F110" s="34"/>
      <c r="G110" s="18"/>
      <c r="H110" s="23">
        <v>168</v>
      </c>
      <c r="I110" s="19"/>
      <c r="J110" s="20">
        <f t="shared" si="10"/>
        <v>0</v>
      </c>
      <c r="K110" s="20">
        <f t="shared" si="11"/>
        <v>194115.99000000002</v>
      </c>
    </row>
    <row r="111" spans="2:13" ht="18.75" x14ac:dyDescent="0.3">
      <c r="B111" s="49">
        <v>44281</v>
      </c>
      <c r="C111" s="17" t="s">
        <v>284</v>
      </c>
      <c r="D111" s="34"/>
      <c r="E111" s="34"/>
      <c r="F111" s="34"/>
      <c r="G111" s="18"/>
      <c r="H111" s="23">
        <v>250</v>
      </c>
      <c r="I111" s="19"/>
      <c r="J111" s="20">
        <f t="shared" si="10"/>
        <v>0</v>
      </c>
      <c r="K111" s="20">
        <f t="shared" si="11"/>
        <v>193865.99000000002</v>
      </c>
    </row>
    <row r="112" spans="2:13" ht="18.75" x14ac:dyDescent="0.3">
      <c r="B112" s="49">
        <v>44282</v>
      </c>
      <c r="C112" s="17" t="s">
        <v>300</v>
      </c>
      <c r="D112" s="34"/>
      <c r="E112" s="34"/>
      <c r="F112" s="34"/>
      <c r="G112" s="18"/>
      <c r="H112" s="23">
        <v>39</v>
      </c>
      <c r="I112" s="19"/>
      <c r="J112" s="20">
        <f t="shared" si="10"/>
        <v>0</v>
      </c>
      <c r="K112" s="20">
        <f t="shared" si="11"/>
        <v>193826.99000000002</v>
      </c>
    </row>
    <row r="113" spans="2:11" ht="18.75" x14ac:dyDescent="0.3">
      <c r="B113" s="49">
        <v>44282</v>
      </c>
      <c r="C113" s="17" t="s">
        <v>301</v>
      </c>
      <c r="D113" s="34"/>
      <c r="E113" s="34"/>
      <c r="F113" s="34"/>
      <c r="G113" s="18"/>
      <c r="H113" s="23">
        <v>216.4</v>
      </c>
      <c r="I113" s="19"/>
      <c r="J113" s="20">
        <f t="shared" si="10"/>
        <v>0</v>
      </c>
      <c r="K113" s="20">
        <f t="shared" si="11"/>
        <v>193610.59000000003</v>
      </c>
    </row>
    <row r="114" spans="2:11" ht="18.75" x14ac:dyDescent="0.3">
      <c r="B114" s="49">
        <v>44283</v>
      </c>
      <c r="C114" s="17" t="s">
        <v>302</v>
      </c>
      <c r="D114" s="34"/>
      <c r="E114" s="34"/>
      <c r="F114" s="34"/>
      <c r="G114" s="18"/>
      <c r="H114" s="23">
        <v>125</v>
      </c>
      <c r="I114" s="19"/>
      <c r="J114" s="20">
        <f t="shared" si="10"/>
        <v>0</v>
      </c>
      <c r="K114" s="20">
        <f t="shared" si="11"/>
        <v>193485.59000000003</v>
      </c>
    </row>
    <row r="115" spans="2:11" ht="18.75" x14ac:dyDescent="0.3">
      <c r="B115" s="49">
        <v>44283</v>
      </c>
      <c r="C115" s="17" t="s">
        <v>303</v>
      </c>
      <c r="D115" s="34"/>
      <c r="E115" s="34"/>
      <c r="F115" s="34"/>
      <c r="G115" s="18"/>
      <c r="H115" s="23">
        <v>100</v>
      </c>
      <c r="I115" s="19"/>
      <c r="J115" s="20">
        <f t="shared" si="10"/>
        <v>0</v>
      </c>
      <c r="K115" s="20">
        <f t="shared" si="11"/>
        <v>193385.59000000003</v>
      </c>
    </row>
    <row r="116" spans="2:11" ht="18.75" x14ac:dyDescent="0.3">
      <c r="B116" s="49">
        <v>44283</v>
      </c>
      <c r="C116" s="17" t="s">
        <v>304</v>
      </c>
      <c r="D116" s="34"/>
      <c r="E116" s="34"/>
      <c r="F116" s="34"/>
      <c r="G116" s="18"/>
      <c r="H116" s="23">
        <v>200</v>
      </c>
      <c r="I116" s="19"/>
      <c r="J116" s="20">
        <f t="shared" si="10"/>
        <v>0</v>
      </c>
      <c r="K116" s="20">
        <f t="shared" si="11"/>
        <v>193185.59000000003</v>
      </c>
    </row>
    <row r="117" spans="2:11" ht="18.75" x14ac:dyDescent="0.3">
      <c r="B117" s="49">
        <v>44283</v>
      </c>
      <c r="C117" s="17" t="s">
        <v>305</v>
      </c>
      <c r="D117" s="34"/>
      <c r="E117" s="34"/>
      <c r="F117" s="34"/>
      <c r="G117" s="18"/>
      <c r="H117" s="23">
        <v>350</v>
      </c>
      <c r="I117" s="19"/>
      <c r="J117" s="20">
        <f t="shared" si="10"/>
        <v>0</v>
      </c>
      <c r="K117" s="20">
        <f t="shared" si="11"/>
        <v>192835.59000000003</v>
      </c>
    </row>
    <row r="118" spans="2:11" ht="18.75" x14ac:dyDescent="0.3">
      <c r="B118" s="49">
        <v>44283</v>
      </c>
      <c r="C118" s="17" t="s">
        <v>306</v>
      </c>
      <c r="D118" s="34"/>
      <c r="E118" s="34"/>
      <c r="F118" s="34"/>
      <c r="G118" s="18"/>
      <c r="H118" s="23">
        <v>350</v>
      </c>
      <c r="I118" s="19"/>
      <c r="J118" s="20">
        <f t="shared" ref="J118:J122" si="12">+J117+E118-G118</f>
        <v>0</v>
      </c>
      <c r="K118" s="20">
        <f t="shared" ref="K118:K122" si="13">+K117+D118-H118</f>
        <v>192485.59000000003</v>
      </c>
    </row>
    <row r="119" spans="2:11" ht="18.75" x14ac:dyDescent="0.3">
      <c r="B119" s="49">
        <v>44283</v>
      </c>
      <c r="C119" s="17" t="s">
        <v>307</v>
      </c>
      <c r="D119" s="34"/>
      <c r="E119" s="34"/>
      <c r="F119" s="34"/>
      <c r="G119" s="18"/>
      <c r="H119" s="23">
        <v>3700</v>
      </c>
      <c r="I119" s="19"/>
      <c r="J119" s="20">
        <f t="shared" si="12"/>
        <v>0</v>
      </c>
      <c r="K119" s="20">
        <f t="shared" si="13"/>
        <v>188785.59000000003</v>
      </c>
    </row>
    <row r="120" spans="2:11" ht="18.75" x14ac:dyDescent="0.3">
      <c r="B120" s="49">
        <v>44284</v>
      </c>
      <c r="C120" s="17" t="s">
        <v>309</v>
      </c>
      <c r="D120" s="34">
        <v>25600</v>
      </c>
      <c r="E120" s="34"/>
      <c r="F120" s="34"/>
      <c r="G120" s="18"/>
      <c r="H120" s="23"/>
      <c r="I120" s="19"/>
      <c r="J120" s="20">
        <f t="shared" si="12"/>
        <v>0</v>
      </c>
      <c r="K120" s="20">
        <f t="shared" si="13"/>
        <v>214385.59000000003</v>
      </c>
    </row>
    <row r="121" spans="2:11" ht="18.75" x14ac:dyDescent="0.3">
      <c r="B121" s="49">
        <v>44284</v>
      </c>
      <c r="C121" s="17" t="s">
        <v>308</v>
      </c>
      <c r="D121" s="34"/>
      <c r="E121" s="34"/>
      <c r="F121" s="34"/>
      <c r="G121" s="18"/>
      <c r="H121" s="23">
        <v>250</v>
      </c>
      <c r="I121" s="19"/>
      <c r="J121" s="20">
        <f t="shared" si="12"/>
        <v>0</v>
      </c>
      <c r="K121" s="20">
        <f t="shared" si="13"/>
        <v>214135.59000000003</v>
      </c>
    </row>
    <row r="122" spans="2:11" ht="18.75" x14ac:dyDescent="0.3">
      <c r="B122" s="49">
        <v>44284</v>
      </c>
      <c r="C122" s="17" t="s">
        <v>284</v>
      </c>
      <c r="D122" s="34"/>
      <c r="E122" s="34"/>
      <c r="F122" s="34"/>
      <c r="G122" s="18"/>
      <c r="H122" s="23">
        <v>170</v>
      </c>
      <c r="I122" s="19"/>
      <c r="J122" s="20">
        <f t="shared" si="12"/>
        <v>0</v>
      </c>
      <c r="K122" s="20">
        <f t="shared" si="13"/>
        <v>213965.59000000003</v>
      </c>
    </row>
    <row r="123" spans="2:11" ht="18.75" x14ac:dyDescent="0.3">
      <c r="B123" s="49">
        <v>44284</v>
      </c>
      <c r="C123" s="17" t="s">
        <v>270</v>
      </c>
      <c r="D123" s="34"/>
      <c r="E123" s="34"/>
      <c r="F123" s="34"/>
      <c r="G123" s="18"/>
      <c r="H123" s="23">
        <v>82</v>
      </c>
      <c r="I123" s="19"/>
      <c r="J123" s="20">
        <f t="shared" ref="J123:J126" si="14">+J122+E123-G123</f>
        <v>0</v>
      </c>
      <c r="K123" s="20">
        <f t="shared" ref="K123:K126" si="15">+K122+D123-H123</f>
        <v>213883.59000000003</v>
      </c>
    </row>
    <row r="124" spans="2:11" ht="18.75" x14ac:dyDescent="0.3">
      <c r="B124" s="49">
        <v>44284</v>
      </c>
      <c r="C124" s="17" t="s">
        <v>310</v>
      </c>
      <c r="D124" s="34"/>
      <c r="E124" s="34"/>
      <c r="F124" s="34"/>
      <c r="G124" s="18"/>
      <c r="H124" s="23">
        <v>138</v>
      </c>
      <c r="I124" s="19"/>
      <c r="J124" s="20">
        <f t="shared" si="14"/>
        <v>0</v>
      </c>
      <c r="K124" s="20">
        <f t="shared" si="15"/>
        <v>213745.59000000003</v>
      </c>
    </row>
    <row r="125" spans="2:11" ht="18.75" x14ac:dyDescent="0.3">
      <c r="B125" s="49">
        <v>44285</v>
      </c>
      <c r="C125" s="43" t="s">
        <v>280</v>
      </c>
      <c r="D125" s="34"/>
      <c r="E125" s="34"/>
      <c r="F125" s="34"/>
      <c r="G125" s="18"/>
      <c r="H125" s="23">
        <v>300</v>
      </c>
      <c r="I125" s="19"/>
      <c r="J125" s="20">
        <f t="shared" si="14"/>
        <v>0</v>
      </c>
      <c r="K125" s="20">
        <f t="shared" si="15"/>
        <v>213445.59000000003</v>
      </c>
    </row>
    <row r="126" spans="2:11" ht="18.75" x14ac:dyDescent="0.3">
      <c r="B126" s="49">
        <v>44285</v>
      </c>
      <c r="C126" s="17" t="s">
        <v>314</v>
      </c>
      <c r="D126" s="34"/>
      <c r="E126" s="34"/>
      <c r="F126" s="34"/>
      <c r="G126" s="18"/>
      <c r="H126" s="23">
        <v>300</v>
      </c>
      <c r="I126" s="19"/>
      <c r="J126" s="20">
        <f t="shared" si="14"/>
        <v>0</v>
      </c>
      <c r="K126" s="20">
        <f t="shared" si="15"/>
        <v>213145.59000000003</v>
      </c>
    </row>
    <row r="127" spans="2:11" ht="18.75" x14ac:dyDescent="0.3">
      <c r="B127" s="49">
        <v>44286</v>
      </c>
      <c r="C127" s="17" t="s">
        <v>315</v>
      </c>
      <c r="D127" s="34"/>
      <c r="E127" s="34"/>
      <c r="F127" s="34"/>
      <c r="G127" s="18"/>
      <c r="H127" s="23">
        <v>400</v>
      </c>
      <c r="I127" s="19"/>
      <c r="J127" s="20">
        <f t="shared" ref="J127" si="16">+J126+E127-G127</f>
        <v>0</v>
      </c>
      <c r="K127" s="20">
        <f t="shared" ref="K127" si="17">+K126+D127-H127</f>
        <v>212745.59000000003</v>
      </c>
    </row>
    <row r="128" spans="2:11" ht="18.75" x14ac:dyDescent="0.3">
      <c r="B128" s="49">
        <v>44286</v>
      </c>
      <c r="C128" s="17" t="s">
        <v>312</v>
      </c>
      <c r="D128" s="34"/>
      <c r="E128" s="34"/>
      <c r="F128" s="34"/>
      <c r="G128" s="18"/>
      <c r="H128" s="23">
        <v>300</v>
      </c>
      <c r="I128" s="19"/>
      <c r="J128" s="20">
        <f t="shared" ref="J128:J138" si="18">+J127+E128-G128</f>
        <v>0</v>
      </c>
      <c r="K128" s="20">
        <f t="shared" ref="K128:K138" si="19">+K127+D128-H128</f>
        <v>212445.59000000003</v>
      </c>
    </row>
    <row r="129" spans="2:14" ht="18.75" x14ac:dyDescent="0.3">
      <c r="B129" s="49">
        <v>44286</v>
      </c>
      <c r="C129" s="17" t="s">
        <v>313</v>
      </c>
      <c r="D129" s="34"/>
      <c r="E129" s="34"/>
      <c r="F129" s="34"/>
      <c r="G129" s="18"/>
      <c r="H129" s="23">
        <v>120</v>
      </c>
      <c r="I129" s="19"/>
      <c r="J129" s="20">
        <f t="shared" si="18"/>
        <v>0</v>
      </c>
      <c r="K129" s="20">
        <f t="shared" si="19"/>
        <v>212325.59000000003</v>
      </c>
    </row>
    <row r="130" spans="2:14" ht="18.75" x14ac:dyDescent="0.3">
      <c r="B130" s="49">
        <v>44286</v>
      </c>
      <c r="C130" s="17" t="s">
        <v>311</v>
      </c>
      <c r="D130" s="34"/>
      <c r="E130" s="34"/>
      <c r="F130" s="34"/>
      <c r="G130" s="18"/>
      <c r="H130" s="18">
        <v>3520</v>
      </c>
      <c r="I130" s="19"/>
      <c r="J130" s="20">
        <f t="shared" si="18"/>
        <v>0</v>
      </c>
      <c r="K130" s="20">
        <f t="shared" si="19"/>
        <v>208805.59000000003</v>
      </c>
    </row>
    <row r="131" spans="2:14" ht="18.75" x14ac:dyDescent="0.3">
      <c r="B131" s="49">
        <v>44286</v>
      </c>
      <c r="C131" s="21" t="s">
        <v>184</v>
      </c>
      <c r="D131" s="34"/>
      <c r="E131" s="34"/>
      <c r="F131" s="34"/>
      <c r="G131" s="18"/>
      <c r="H131" s="18">
        <v>250</v>
      </c>
      <c r="I131" s="19"/>
      <c r="J131" s="20">
        <f t="shared" si="18"/>
        <v>0</v>
      </c>
      <c r="K131" s="20">
        <f t="shared" si="19"/>
        <v>208555.59000000003</v>
      </c>
    </row>
    <row r="132" spans="2:14" ht="18.75" x14ac:dyDescent="0.3">
      <c r="B132" s="49">
        <v>44286</v>
      </c>
      <c r="C132" s="21" t="s">
        <v>185</v>
      </c>
      <c r="D132" s="34"/>
      <c r="E132" s="34"/>
      <c r="F132" s="34"/>
      <c r="G132" s="18"/>
      <c r="H132" s="18">
        <v>300</v>
      </c>
      <c r="I132" s="19"/>
      <c r="J132" s="20">
        <f t="shared" si="18"/>
        <v>0</v>
      </c>
      <c r="K132" s="20">
        <f t="shared" si="19"/>
        <v>208255.59000000003</v>
      </c>
    </row>
    <row r="133" spans="2:14" ht="18.75" x14ac:dyDescent="0.3">
      <c r="B133" s="49">
        <v>36981</v>
      </c>
      <c r="C133" s="21" t="s">
        <v>186</v>
      </c>
      <c r="D133" s="34"/>
      <c r="E133" s="34"/>
      <c r="F133" s="34"/>
      <c r="G133" s="18"/>
      <c r="H133" s="18">
        <v>650</v>
      </c>
      <c r="I133" s="19"/>
      <c r="J133" s="20">
        <f t="shared" si="18"/>
        <v>0</v>
      </c>
      <c r="K133" s="20">
        <f t="shared" si="19"/>
        <v>207605.59000000003</v>
      </c>
    </row>
    <row r="134" spans="2:14" ht="18.75" x14ac:dyDescent="0.3">
      <c r="B134" s="49">
        <v>44286</v>
      </c>
      <c r="C134" s="24" t="s">
        <v>188</v>
      </c>
      <c r="D134" s="34"/>
      <c r="E134" s="34"/>
      <c r="F134" s="34"/>
      <c r="G134" s="18"/>
      <c r="H134" s="18">
        <v>3000</v>
      </c>
      <c r="I134" s="19"/>
      <c r="J134" s="20">
        <f t="shared" si="18"/>
        <v>0</v>
      </c>
      <c r="K134" s="20">
        <f t="shared" si="19"/>
        <v>204605.59000000003</v>
      </c>
    </row>
    <row r="135" spans="2:14" ht="18.75" x14ac:dyDescent="0.3">
      <c r="B135" s="49">
        <v>44286</v>
      </c>
      <c r="C135" s="21" t="s">
        <v>80</v>
      </c>
      <c r="D135" s="34"/>
      <c r="E135" s="34"/>
      <c r="F135" s="34"/>
      <c r="G135" s="18"/>
      <c r="H135" s="18">
        <v>3400</v>
      </c>
      <c r="I135" s="19"/>
      <c r="J135" s="20">
        <f t="shared" si="18"/>
        <v>0</v>
      </c>
      <c r="K135" s="20">
        <f t="shared" si="19"/>
        <v>201205.59000000003</v>
      </c>
    </row>
    <row r="136" spans="2:14" ht="18.75" x14ac:dyDescent="0.3">
      <c r="B136" s="49">
        <v>44286</v>
      </c>
      <c r="C136" s="17" t="s">
        <v>316</v>
      </c>
      <c r="D136" s="34"/>
      <c r="E136" s="34"/>
      <c r="F136" s="34"/>
      <c r="G136" s="18"/>
      <c r="H136" s="23">
        <v>1400</v>
      </c>
      <c r="I136" s="19"/>
      <c r="J136" s="20">
        <f t="shared" si="18"/>
        <v>0</v>
      </c>
      <c r="K136" s="20">
        <f t="shared" si="19"/>
        <v>199805.59000000003</v>
      </c>
    </row>
    <row r="137" spans="2:14" ht="18.75" x14ac:dyDescent="0.3">
      <c r="B137" s="49">
        <v>36981</v>
      </c>
      <c r="C137" s="24" t="s">
        <v>229</v>
      </c>
      <c r="D137" s="34">
        <v>9000</v>
      </c>
      <c r="E137" s="34"/>
      <c r="F137" s="34"/>
      <c r="G137" s="18"/>
      <c r="H137" s="18"/>
      <c r="I137" s="19"/>
      <c r="J137" s="20">
        <f t="shared" si="18"/>
        <v>0</v>
      </c>
      <c r="K137" s="20">
        <f t="shared" si="19"/>
        <v>208805.59000000003</v>
      </c>
    </row>
    <row r="138" spans="2:14" ht="18.75" x14ac:dyDescent="0.3">
      <c r="B138" s="49">
        <v>44286</v>
      </c>
      <c r="C138" s="24" t="s">
        <v>88</v>
      </c>
      <c r="D138" s="34"/>
      <c r="E138" s="18"/>
      <c r="F138" s="18"/>
      <c r="G138" s="18"/>
      <c r="H138" s="18">
        <v>9000</v>
      </c>
      <c r="I138" s="19"/>
      <c r="J138" s="20">
        <f t="shared" si="18"/>
        <v>0</v>
      </c>
      <c r="K138" s="20">
        <f t="shared" si="19"/>
        <v>199805.59000000003</v>
      </c>
    </row>
    <row r="139" spans="2:14" ht="18.75" x14ac:dyDescent="0.3">
      <c r="B139" s="49">
        <v>44286</v>
      </c>
      <c r="C139" s="24" t="s">
        <v>89</v>
      </c>
      <c r="D139" s="34"/>
      <c r="E139" s="18"/>
      <c r="F139" s="18"/>
      <c r="G139" s="18"/>
      <c r="H139" s="18">
        <v>29250</v>
      </c>
      <c r="I139" s="19"/>
      <c r="J139" s="20">
        <f t="shared" ref="J139:J140" si="20">+J138+E139-G139</f>
        <v>0</v>
      </c>
      <c r="K139" s="20">
        <f t="shared" ref="K139:K140" si="21">+K138+D139-H139</f>
        <v>170555.59000000003</v>
      </c>
      <c r="M139" s="84"/>
      <c r="N139" t="s">
        <v>295</v>
      </c>
    </row>
    <row r="140" spans="2:14" ht="19.5" thickBot="1" x14ac:dyDescent="0.35">
      <c r="B140" s="49">
        <v>44286</v>
      </c>
      <c r="C140" s="43" t="s">
        <v>84</v>
      </c>
      <c r="D140" s="34"/>
      <c r="E140" s="18"/>
      <c r="F140" s="18"/>
      <c r="G140" s="18"/>
      <c r="H140" s="18">
        <v>5650</v>
      </c>
      <c r="I140" s="19"/>
      <c r="J140" s="20">
        <f t="shared" si="20"/>
        <v>0</v>
      </c>
      <c r="K140" s="20">
        <f t="shared" si="21"/>
        <v>164905.59000000003</v>
      </c>
      <c r="M140" s="84">
        <v>2500</v>
      </c>
      <c r="N140" t="s">
        <v>296</v>
      </c>
    </row>
    <row r="141" spans="2:14" ht="19.5" thickBot="1" x14ac:dyDescent="0.35">
      <c r="B141" s="25"/>
      <c r="C141" s="26" t="s">
        <v>0</v>
      </c>
      <c r="D141" s="27">
        <f>SUM(D99:D140)</f>
        <v>130000</v>
      </c>
      <c r="E141" s="28">
        <f>SUM(E99:E140)</f>
        <v>0</v>
      </c>
      <c r="F141" s="29">
        <f>SUM(D141:E141)</f>
        <v>130000</v>
      </c>
      <c r="G141" s="30">
        <f>SUM(G99:G140)</f>
        <v>0</v>
      </c>
      <c r="H141" s="27">
        <f>SUM(H99:H140)</f>
        <v>158129.13</v>
      </c>
      <c r="I141" s="29">
        <f>SUM(G141:H141)</f>
        <v>158129.13</v>
      </c>
      <c r="J141" s="31"/>
      <c r="K141" s="31"/>
    </row>
    <row r="142" spans="2:14" ht="19.5" thickBot="1" x14ac:dyDescent="0.35">
      <c r="B142" s="67"/>
      <c r="C142" s="87"/>
      <c r="D142" s="80"/>
      <c r="E142" s="80"/>
      <c r="F142" s="81"/>
      <c r="G142" s="82"/>
      <c r="H142" s="80"/>
      <c r="I142" s="29"/>
      <c r="J142" s="31"/>
      <c r="K142" s="88"/>
    </row>
    <row r="143" spans="2:14" ht="19.5" thickBot="1" x14ac:dyDescent="0.35">
      <c r="B143" s="5"/>
      <c r="C143" s="5"/>
      <c r="D143" s="5"/>
      <c r="E143" s="5"/>
      <c r="F143" s="5"/>
      <c r="G143" s="5"/>
      <c r="H143" s="5"/>
      <c r="I143" s="35" t="s">
        <v>7</v>
      </c>
      <c r="J143" s="35" t="s">
        <v>6</v>
      </c>
      <c r="K143" s="36" t="s">
        <v>0</v>
      </c>
    </row>
    <row r="144" spans="2:14" ht="19.5" thickBot="1" x14ac:dyDescent="0.35">
      <c r="B144" s="5"/>
      <c r="C144" s="5"/>
      <c r="D144" s="5"/>
      <c r="E144" s="5"/>
      <c r="F144" s="5"/>
      <c r="G144" s="5"/>
      <c r="H144" s="5"/>
      <c r="I144" s="37">
        <v>0</v>
      </c>
      <c r="J144" s="37">
        <v>164905.59</v>
      </c>
      <c r="K144" s="31">
        <f>SUM(I144:J144)</f>
        <v>164905.59</v>
      </c>
    </row>
    <row r="146" spans="12:14" x14ac:dyDescent="0.25">
      <c r="M146">
        <v>164905.59</v>
      </c>
      <c r="N146">
        <v>2500</v>
      </c>
    </row>
    <row r="147" spans="12:14" x14ac:dyDescent="0.25">
      <c r="L147" s="1"/>
      <c r="N147">
        <v>162405.59</v>
      </c>
    </row>
    <row r="148" spans="12:14" x14ac:dyDescent="0.25">
      <c r="N148">
        <v>32405.59</v>
      </c>
    </row>
  </sheetData>
  <printOptions verticalCentered="1"/>
  <pageMargins left="0.31496062992125984" right="0" top="0" bottom="0" header="0.31496062992125984" footer="0.31496062992125984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B1:N189"/>
  <sheetViews>
    <sheetView zoomScale="80" zoomScaleNormal="80" workbookViewId="0">
      <pane ySplit="4" topLeftCell="A43" activePane="bottomLeft" state="frozen"/>
      <selection activeCell="C41" sqref="C41"/>
      <selection pane="bottomLeft" activeCell="H43" sqref="H43"/>
    </sheetView>
  </sheetViews>
  <sheetFormatPr baseColWidth="10" defaultRowHeight="15" x14ac:dyDescent="0.25"/>
  <cols>
    <col min="1" max="1" width="2" customWidth="1"/>
    <col min="2" max="2" width="13.7109375" style="2" customWidth="1"/>
    <col min="3" max="3" width="88.7109375" customWidth="1"/>
    <col min="4" max="4" width="12.5703125" customWidth="1"/>
    <col min="5" max="6" width="12.7109375" customWidth="1"/>
    <col min="7" max="7" width="12.5703125" customWidth="1"/>
    <col min="8" max="8" width="13" customWidth="1"/>
    <col min="9" max="9" width="12.5703125" customWidth="1"/>
    <col min="10" max="10" width="12.7109375" customWidth="1"/>
    <col min="11" max="12" width="13" customWidth="1"/>
    <col min="13" max="13" width="14.28515625" customWidth="1"/>
  </cols>
  <sheetData>
    <row r="1" spans="2:11" ht="19.5" thickBot="1" x14ac:dyDescent="0.35">
      <c r="B1" s="39"/>
      <c r="C1" s="6" t="s">
        <v>16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9.5" thickBot="1" x14ac:dyDescent="0.35">
      <c r="B4" s="52">
        <v>44286</v>
      </c>
      <c r="C4" s="12" t="s">
        <v>17</v>
      </c>
      <c r="D4" s="13"/>
      <c r="E4" s="14"/>
      <c r="F4" s="14"/>
      <c r="G4" s="14"/>
      <c r="H4" s="15"/>
      <c r="I4" s="16"/>
      <c r="J4" s="53">
        <v>0</v>
      </c>
      <c r="K4" s="37">
        <v>164905.59</v>
      </c>
    </row>
    <row r="5" spans="2:11" ht="18.75" x14ac:dyDescent="0.3">
      <c r="B5" s="11">
        <v>44288</v>
      </c>
      <c r="C5" s="40" t="s">
        <v>317</v>
      </c>
      <c r="D5" s="13"/>
      <c r="E5" s="14"/>
      <c r="F5" s="14"/>
      <c r="G5" s="14"/>
      <c r="H5" s="15">
        <v>641.09</v>
      </c>
      <c r="I5" s="16"/>
      <c r="J5" s="20">
        <f>+J4+E5-G5</f>
        <v>0</v>
      </c>
      <c r="K5" s="20">
        <f>+K4+D5-H5</f>
        <v>164264.5</v>
      </c>
    </row>
    <row r="6" spans="2:11" ht="18.75" x14ac:dyDescent="0.3">
      <c r="B6" s="11">
        <v>44289</v>
      </c>
      <c r="C6" s="17" t="s">
        <v>318</v>
      </c>
      <c r="D6" s="34"/>
      <c r="E6" s="18"/>
      <c r="F6" s="18"/>
      <c r="G6" s="18"/>
      <c r="H6" s="18">
        <v>1000</v>
      </c>
      <c r="I6" s="19"/>
      <c r="J6" s="20">
        <f t="shared" ref="J6:J44" si="0">+J5+E6-G6</f>
        <v>0</v>
      </c>
      <c r="K6" s="20">
        <f t="shared" ref="K6:K44" si="1">+K5+D6-H6</f>
        <v>163264.5</v>
      </c>
    </row>
    <row r="7" spans="2:11" ht="18.75" x14ac:dyDescent="0.3">
      <c r="B7" s="22">
        <v>44289</v>
      </c>
      <c r="C7" s="21" t="s">
        <v>319</v>
      </c>
      <c r="D7" s="34"/>
      <c r="E7" s="18"/>
      <c r="F7" s="18"/>
      <c r="G7" s="18"/>
      <c r="H7" s="18">
        <v>1100</v>
      </c>
      <c r="I7" s="19"/>
      <c r="J7" s="20">
        <f t="shared" si="0"/>
        <v>0</v>
      </c>
      <c r="K7" s="20">
        <f t="shared" si="1"/>
        <v>162164.5</v>
      </c>
    </row>
    <row r="8" spans="2:11" ht="18.75" x14ac:dyDescent="0.3">
      <c r="B8" s="22">
        <v>44289</v>
      </c>
      <c r="C8" s="41" t="s">
        <v>320</v>
      </c>
      <c r="D8" s="34"/>
      <c r="E8" s="18"/>
      <c r="F8" s="18"/>
      <c r="G8" s="18"/>
      <c r="H8" s="18">
        <v>200</v>
      </c>
      <c r="I8" s="19"/>
      <c r="J8" s="20">
        <f t="shared" si="0"/>
        <v>0</v>
      </c>
      <c r="K8" s="20">
        <f t="shared" si="1"/>
        <v>161964.5</v>
      </c>
    </row>
    <row r="9" spans="2:11" ht="18.75" x14ac:dyDescent="0.3">
      <c r="B9" s="22">
        <v>44290</v>
      </c>
      <c r="C9" s="21" t="s">
        <v>321</v>
      </c>
      <c r="D9" s="34"/>
      <c r="E9" s="18"/>
      <c r="F9" s="18"/>
      <c r="G9" s="18"/>
      <c r="H9" s="18">
        <v>100</v>
      </c>
      <c r="I9" s="19"/>
      <c r="J9" s="20">
        <f t="shared" si="0"/>
        <v>0</v>
      </c>
      <c r="K9" s="20">
        <f t="shared" si="1"/>
        <v>161864.5</v>
      </c>
    </row>
    <row r="10" spans="2:11" ht="18.75" x14ac:dyDescent="0.3">
      <c r="B10" s="22">
        <v>44290</v>
      </c>
      <c r="C10" s="21" t="s">
        <v>322</v>
      </c>
      <c r="D10" s="34"/>
      <c r="E10" s="18"/>
      <c r="F10" s="18"/>
      <c r="G10" s="18"/>
      <c r="H10" s="18">
        <v>300</v>
      </c>
      <c r="I10" s="19"/>
      <c r="J10" s="20">
        <f t="shared" si="0"/>
        <v>0</v>
      </c>
      <c r="K10" s="20">
        <f t="shared" si="1"/>
        <v>161564.5</v>
      </c>
    </row>
    <row r="11" spans="2:11" ht="18.75" x14ac:dyDescent="0.3">
      <c r="B11" s="22">
        <v>44290</v>
      </c>
      <c r="C11" s="41" t="s">
        <v>323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161364.5</v>
      </c>
    </row>
    <row r="12" spans="2:11" ht="18.75" x14ac:dyDescent="0.3">
      <c r="B12" s="22">
        <v>44290</v>
      </c>
      <c r="C12" s="24" t="s">
        <v>43</v>
      </c>
      <c r="D12" s="34">
        <v>36650</v>
      </c>
      <c r="E12" s="18"/>
      <c r="F12" s="18"/>
      <c r="G12" s="18"/>
      <c r="H12" s="18"/>
      <c r="I12" s="19"/>
      <c r="J12" s="20">
        <f t="shared" si="0"/>
        <v>0</v>
      </c>
      <c r="K12" s="20">
        <f t="shared" si="1"/>
        <v>198014.5</v>
      </c>
    </row>
    <row r="13" spans="2:11" ht="18.75" x14ac:dyDescent="0.3">
      <c r="B13" s="22">
        <v>44291</v>
      </c>
      <c r="C13" s="21" t="s">
        <v>324</v>
      </c>
      <c r="D13" s="34"/>
      <c r="E13" s="18"/>
      <c r="F13" s="18"/>
      <c r="G13" s="18"/>
      <c r="H13" s="18">
        <v>300</v>
      </c>
      <c r="I13" s="19"/>
      <c r="J13" s="20">
        <f t="shared" si="0"/>
        <v>0</v>
      </c>
      <c r="K13" s="20">
        <f t="shared" si="1"/>
        <v>197714.5</v>
      </c>
    </row>
    <row r="14" spans="2:11" ht="18.75" x14ac:dyDescent="0.3">
      <c r="B14" s="22">
        <v>44291</v>
      </c>
      <c r="C14" s="21" t="s">
        <v>325</v>
      </c>
      <c r="D14" s="34"/>
      <c r="E14" s="18"/>
      <c r="F14" s="18"/>
      <c r="G14" s="18"/>
      <c r="H14" s="18">
        <v>123</v>
      </c>
      <c r="I14" s="19"/>
      <c r="J14" s="20">
        <f t="shared" si="0"/>
        <v>0</v>
      </c>
      <c r="K14" s="20">
        <f t="shared" si="1"/>
        <v>197591.5</v>
      </c>
    </row>
    <row r="15" spans="2:11" ht="18.75" x14ac:dyDescent="0.3">
      <c r="B15" s="22">
        <v>44291</v>
      </c>
      <c r="C15" s="21" t="s">
        <v>326</v>
      </c>
      <c r="D15" s="34"/>
      <c r="E15" s="18"/>
      <c r="F15" s="18"/>
      <c r="G15" s="18"/>
      <c r="H15" s="18">
        <v>43</v>
      </c>
      <c r="I15" s="19"/>
      <c r="J15" s="20">
        <f t="shared" si="0"/>
        <v>0</v>
      </c>
      <c r="K15" s="20">
        <f t="shared" si="1"/>
        <v>197548.5</v>
      </c>
    </row>
    <row r="16" spans="2:11" ht="18.75" x14ac:dyDescent="0.3">
      <c r="B16" s="22">
        <v>44291</v>
      </c>
      <c r="C16" s="41" t="s">
        <v>327</v>
      </c>
      <c r="D16" s="34"/>
      <c r="E16" s="18"/>
      <c r="F16" s="18"/>
      <c r="G16" s="18"/>
      <c r="H16" s="18">
        <v>80</v>
      </c>
      <c r="I16" s="19"/>
      <c r="J16" s="20">
        <f t="shared" si="0"/>
        <v>0</v>
      </c>
      <c r="K16" s="20">
        <f t="shared" si="1"/>
        <v>197468.5</v>
      </c>
    </row>
    <row r="17" spans="2:12" ht="18.75" x14ac:dyDescent="0.3">
      <c r="B17" s="22">
        <v>44291</v>
      </c>
      <c r="C17" s="21" t="s">
        <v>328</v>
      </c>
      <c r="D17" s="34"/>
      <c r="E17" s="18"/>
      <c r="F17" s="18"/>
      <c r="G17" s="18"/>
      <c r="H17" s="18">
        <v>544.75</v>
      </c>
      <c r="I17" s="19"/>
      <c r="J17" s="20">
        <f t="shared" si="0"/>
        <v>0</v>
      </c>
      <c r="K17" s="20">
        <f t="shared" si="1"/>
        <v>196923.75</v>
      </c>
    </row>
    <row r="18" spans="2:12" ht="18.75" x14ac:dyDescent="0.3">
      <c r="B18" s="22">
        <v>44291</v>
      </c>
      <c r="C18" s="21" t="s">
        <v>275</v>
      </c>
      <c r="D18" s="34"/>
      <c r="E18" s="18"/>
      <c r="F18" s="18"/>
      <c r="G18" s="18"/>
      <c r="H18" s="18">
        <v>10</v>
      </c>
      <c r="I18" s="19"/>
      <c r="J18" s="20">
        <f t="shared" si="0"/>
        <v>0</v>
      </c>
      <c r="K18" s="20">
        <f t="shared" si="1"/>
        <v>196913.75</v>
      </c>
    </row>
    <row r="19" spans="2:12" ht="18.75" x14ac:dyDescent="0.3">
      <c r="B19" s="22">
        <v>44292</v>
      </c>
      <c r="C19" s="21" t="s">
        <v>331</v>
      </c>
      <c r="D19" s="34"/>
      <c r="E19" s="18"/>
      <c r="F19" s="18"/>
      <c r="G19" s="18"/>
      <c r="H19" s="18">
        <v>1700</v>
      </c>
      <c r="I19" s="19"/>
      <c r="J19" s="20">
        <f t="shared" si="0"/>
        <v>0</v>
      </c>
      <c r="K19" s="20">
        <f t="shared" si="1"/>
        <v>195213.75</v>
      </c>
    </row>
    <row r="20" spans="2:12" ht="18.75" x14ac:dyDescent="0.3">
      <c r="B20" s="22">
        <v>44293</v>
      </c>
      <c r="C20" s="21" t="s">
        <v>329</v>
      </c>
      <c r="D20" s="34"/>
      <c r="E20" s="18"/>
      <c r="F20" s="18"/>
      <c r="G20" s="18"/>
      <c r="H20" s="18">
        <v>400</v>
      </c>
      <c r="I20" s="19"/>
      <c r="J20" s="20">
        <f t="shared" si="0"/>
        <v>0</v>
      </c>
      <c r="K20" s="20">
        <f t="shared" si="1"/>
        <v>194813.75</v>
      </c>
    </row>
    <row r="21" spans="2:12" ht="18.75" x14ac:dyDescent="0.3">
      <c r="B21" s="22">
        <v>44293</v>
      </c>
      <c r="C21" s="21" t="s">
        <v>330</v>
      </c>
      <c r="D21" s="34"/>
      <c r="E21" s="18"/>
      <c r="F21" s="18"/>
      <c r="G21" s="18"/>
      <c r="H21" s="18">
        <v>2800</v>
      </c>
      <c r="I21" s="19"/>
      <c r="J21" s="20">
        <f t="shared" si="0"/>
        <v>0</v>
      </c>
      <c r="K21" s="20">
        <f t="shared" si="1"/>
        <v>192013.75</v>
      </c>
    </row>
    <row r="22" spans="2:12" ht="18.75" x14ac:dyDescent="0.3">
      <c r="B22" s="22">
        <v>44293</v>
      </c>
      <c r="C22" s="21" t="s">
        <v>333</v>
      </c>
      <c r="D22" s="34"/>
      <c r="E22" s="18"/>
      <c r="F22" s="18"/>
      <c r="G22" s="18"/>
      <c r="H22" s="18">
        <v>3600</v>
      </c>
      <c r="I22" s="19"/>
      <c r="J22" s="20">
        <f t="shared" si="0"/>
        <v>0</v>
      </c>
      <c r="K22" s="20">
        <f t="shared" si="1"/>
        <v>188413.75</v>
      </c>
    </row>
    <row r="23" spans="2:12" ht="18.75" x14ac:dyDescent="0.3">
      <c r="B23" s="22">
        <v>44293</v>
      </c>
      <c r="C23" s="21" t="s">
        <v>332</v>
      </c>
      <c r="D23" s="34"/>
      <c r="E23" s="18"/>
      <c r="F23" s="18"/>
      <c r="G23" s="18"/>
      <c r="H23" s="18">
        <v>1900</v>
      </c>
      <c r="I23" s="19"/>
      <c r="J23" s="20">
        <f t="shared" si="0"/>
        <v>0</v>
      </c>
      <c r="K23" s="20">
        <f t="shared" si="1"/>
        <v>186513.75</v>
      </c>
    </row>
    <row r="24" spans="2:12" ht="18.75" x14ac:dyDescent="0.3">
      <c r="B24" s="22">
        <v>44293</v>
      </c>
      <c r="C24" s="21" t="s">
        <v>334</v>
      </c>
      <c r="D24" s="34"/>
      <c r="E24" s="34"/>
      <c r="F24" s="18"/>
      <c r="G24" s="18"/>
      <c r="H24" s="18">
        <v>200</v>
      </c>
      <c r="I24" s="19"/>
      <c r="J24" s="20">
        <f t="shared" si="0"/>
        <v>0</v>
      </c>
      <c r="K24" s="20">
        <f t="shared" si="1"/>
        <v>186313.75</v>
      </c>
    </row>
    <row r="25" spans="2:12" ht="18.75" x14ac:dyDescent="0.3">
      <c r="B25" s="22">
        <v>44295</v>
      </c>
      <c r="C25" s="21" t="s">
        <v>335</v>
      </c>
      <c r="D25" s="34"/>
      <c r="E25" s="34"/>
      <c r="F25" s="18"/>
      <c r="G25" s="18"/>
      <c r="H25" s="18">
        <v>795.4</v>
      </c>
      <c r="I25" s="19"/>
      <c r="J25" s="20">
        <f t="shared" si="0"/>
        <v>0</v>
      </c>
      <c r="K25" s="20">
        <f t="shared" si="1"/>
        <v>185518.35</v>
      </c>
    </row>
    <row r="26" spans="2:12" ht="18.75" x14ac:dyDescent="0.3">
      <c r="B26" s="42">
        <v>44295</v>
      </c>
      <c r="C26" s="21" t="s">
        <v>336</v>
      </c>
      <c r="D26" s="34"/>
      <c r="E26" s="34"/>
      <c r="F26" s="18"/>
      <c r="G26" s="18"/>
      <c r="H26" s="18">
        <v>4050</v>
      </c>
      <c r="I26" s="19"/>
      <c r="J26" s="20">
        <f t="shared" si="0"/>
        <v>0</v>
      </c>
      <c r="K26" s="20">
        <f t="shared" si="1"/>
        <v>181468.35</v>
      </c>
    </row>
    <row r="27" spans="2:12" ht="18.75" x14ac:dyDescent="0.3">
      <c r="B27" s="46">
        <v>44296</v>
      </c>
      <c r="C27" s="21" t="s">
        <v>159</v>
      </c>
      <c r="D27" s="34"/>
      <c r="E27" s="34"/>
      <c r="F27" s="34"/>
      <c r="G27" s="18"/>
      <c r="H27" s="18">
        <v>540.58000000000004</v>
      </c>
      <c r="I27" s="19"/>
      <c r="J27" s="20">
        <f t="shared" si="0"/>
        <v>0</v>
      </c>
      <c r="K27" s="20">
        <f t="shared" si="1"/>
        <v>180927.77000000002</v>
      </c>
      <c r="L27" s="1"/>
    </row>
    <row r="28" spans="2:12" ht="18.75" x14ac:dyDescent="0.3">
      <c r="B28" s="44">
        <v>44296</v>
      </c>
      <c r="C28" s="33" t="s">
        <v>130</v>
      </c>
      <c r="D28" s="34"/>
      <c r="E28" s="34"/>
      <c r="F28" s="34"/>
      <c r="G28" s="34"/>
      <c r="H28" s="18">
        <v>259.7</v>
      </c>
      <c r="I28" s="19"/>
      <c r="J28" s="20">
        <f t="shared" si="0"/>
        <v>0</v>
      </c>
      <c r="K28" s="20">
        <f t="shared" si="1"/>
        <v>180668.07</v>
      </c>
    </row>
    <row r="29" spans="2:12" ht="18.75" x14ac:dyDescent="0.3">
      <c r="B29" s="42">
        <v>44296</v>
      </c>
      <c r="C29" s="33" t="s">
        <v>337</v>
      </c>
      <c r="D29" s="34"/>
      <c r="E29" s="18"/>
      <c r="F29" s="18"/>
      <c r="G29" s="18"/>
      <c r="H29" s="18">
        <v>106.05</v>
      </c>
      <c r="I29" s="19"/>
      <c r="J29" s="20">
        <f t="shared" si="0"/>
        <v>0</v>
      </c>
      <c r="K29" s="20">
        <f t="shared" si="1"/>
        <v>180562.02000000002</v>
      </c>
    </row>
    <row r="30" spans="2:12" ht="18.75" x14ac:dyDescent="0.3">
      <c r="B30" s="42">
        <v>44296</v>
      </c>
      <c r="C30" s="43" t="s">
        <v>338</v>
      </c>
      <c r="D30" s="34"/>
      <c r="E30" s="18"/>
      <c r="F30" s="18"/>
      <c r="G30" s="18"/>
      <c r="H30" s="18">
        <v>1800</v>
      </c>
      <c r="I30" s="19"/>
      <c r="J30" s="20">
        <f t="shared" si="0"/>
        <v>0</v>
      </c>
      <c r="K30" s="20">
        <f t="shared" si="1"/>
        <v>178762.02000000002</v>
      </c>
    </row>
    <row r="31" spans="2:12" ht="18.75" x14ac:dyDescent="0.3">
      <c r="B31" s="42">
        <v>44296</v>
      </c>
      <c r="C31" s="33" t="s">
        <v>339</v>
      </c>
      <c r="D31" s="34"/>
      <c r="E31" s="18"/>
      <c r="F31" s="18"/>
      <c r="G31" s="18"/>
      <c r="H31" s="18">
        <v>120</v>
      </c>
      <c r="I31" s="19"/>
      <c r="J31" s="20">
        <f t="shared" si="0"/>
        <v>0</v>
      </c>
      <c r="K31" s="20">
        <f t="shared" si="1"/>
        <v>178642.02000000002</v>
      </c>
    </row>
    <row r="32" spans="2:12" ht="18.75" x14ac:dyDescent="0.3">
      <c r="B32" s="42">
        <v>44296</v>
      </c>
      <c r="C32" s="33" t="s">
        <v>340</v>
      </c>
      <c r="D32" s="34"/>
      <c r="E32" s="18"/>
      <c r="F32" s="18"/>
      <c r="G32" s="18"/>
      <c r="H32" s="18">
        <v>2200</v>
      </c>
      <c r="I32" s="19"/>
      <c r="J32" s="20">
        <f t="shared" si="0"/>
        <v>0</v>
      </c>
      <c r="K32" s="20">
        <f t="shared" si="1"/>
        <v>176442.02000000002</v>
      </c>
    </row>
    <row r="33" spans="2:11" ht="18.75" x14ac:dyDescent="0.3">
      <c r="B33" s="42">
        <v>44296</v>
      </c>
      <c r="C33" s="33" t="s">
        <v>341</v>
      </c>
      <c r="D33" s="34"/>
      <c r="E33" s="18"/>
      <c r="F33" s="18"/>
      <c r="G33" s="18"/>
      <c r="H33" s="18">
        <v>400</v>
      </c>
      <c r="I33" s="19"/>
      <c r="J33" s="20">
        <f t="shared" si="0"/>
        <v>0</v>
      </c>
      <c r="K33" s="20">
        <f t="shared" si="1"/>
        <v>176042.02000000002</v>
      </c>
    </row>
    <row r="34" spans="2:11" ht="18.75" x14ac:dyDescent="0.3">
      <c r="B34" s="49">
        <v>44296</v>
      </c>
      <c r="C34" s="43" t="s">
        <v>448</v>
      </c>
      <c r="D34" s="34"/>
      <c r="E34" s="18"/>
      <c r="F34" s="18"/>
      <c r="G34" s="18"/>
      <c r="H34" s="18">
        <v>3000</v>
      </c>
      <c r="I34" s="19"/>
      <c r="J34" s="20">
        <f t="shared" si="0"/>
        <v>0</v>
      </c>
      <c r="K34" s="20">
        <f t="shared" si="1"/>
        <v>173042.02000000002</v>
      </c>
    </row>
    <row r="35" spans="2:11" ht="18.75" x14ac:dyDescent="0.3">
      <c r="B35" s="42">
        <v>44297</v>
      </c>
      <c r="C35" s="33" t="s">
        <v>342</v>
      </c>
      <c r="D35" s="34"/>
      <c r="E35" s="18"/>
      <c r="F35" s="18"/>
      <c r="G35" s="18"/>
      <c r="H35" s="18">
        <v>100</v>
      </c>
      <c r="I35" s="19"/>
      <c r="J35" s="20">
        <f t="shared" si="0"/>
        <v>0</v>
      </c>
      <c r="K35" s="20">
        <f t="shared" si="1"/>
        <v>172942.02000000002</v>
      </c>
    </row>
    <row r="36" spans="2:11" ht="18.75" x14ac:dyDescent="0.3">
      <c r="B36" s="42">
        <v>44297</v>
      </c>
      <c r="C36" s="33" t="s">
        <v>343</v>
      </c>
      <c r="D36" s="34"/>
      <c r="E36" s="18"/>
      <c r="F36" s="18"/>
      <c r="G36" s="18"/>
      <c r="H36" s="18">
        <v>200</v>
      </c>
      <c r="I36" s="19"/>
      <c r="J36" s="20">
        <f t="shared" si="0"/>
        <v>0</v>
      </c>
      <c r="K36" s="20">
        <f t="shared" si="1"/>
        <v>172742.02000000002</v>
      </c>
    </row>
    <row r="37" spans="2:11" ht="18.75" x14ac:dyDescent="0.3">
      <c r="B37" s="47">
        <v>44297</v>
      </c>
      <c r="C37" s="33" t="s">
        <v>344</v>
      </c>
      <c r="D37" s="34"/>
      <c r="E37" s="18"/>
      <c r="F37" s="18"/>
      <c r="G37" s="18"/>
      <c r="H37" s="18">
        <v>350</v>
      </c>
      <c r="I37" s="19"/>
      <c r="J37" s="20">
        <f t="shared" si="0"/>
        <v>0</v>
      </c>
      <c r="K37" s="20">
        <f t="shared" si="1"/>
        <v>172392.02000000002</v>
      </c>
    </row>
    <row r="38" spans="2:11" ht="18.75" x14ac:dyDescent="0.3">
      <c r="B38" s="47">
        <v>44297</v>
      </c>
      <c r="C38" s="33" t="s">
        <v>345</v>
      </c>
      <c r="D38" s="34"/>
      <c r="E38" s="18"/>
      <c r="F38" s="18"/>
      <c r="G38" s="18"/>
      <c r="H38" s="18">
        <v>300</v>
      </c>
      <c r="I38" s="19"/>
      <c r="J38" s="20">
        <f t="shared" si="0"/>
        <v>0</v>
      </c>
      <c r="K38" s="20">
        <f t="shared" si="1"/>
        <v>172092.02000000002</v>
      </c>
    </row>
    <row r="39" spans="2:11" ht="18.75" x14ac:dyDescent="0.3">
      <c r="B39" s="47">
        <v>44297</v>
      </c>
      <c r="C39" s="43" t="s">
        <v>60</v>
      </c>
      <c r="D39" s="34">
        <v>41150</v>
      </c>
      <c r="E39" s="34"/>
      <c r="F39" s="34"/>
      <c r="G39" s="34"/>
      <c r="H39" s="18"/>
      <c r="I39" s="19"/>
      <c r="J39" s="20">
        <f t="shared" si="0"/>
        <v>0</v>
      </c>
      <c r="K39" s="20">
        <f t="shared" si="1"/>
        <v>213242.02000000002</v>
      </c>
    </row>
    <row r="40" spans="2:11" ht="18.75" x14ac:dyDescent="0.3">
      <c r="B40" s="47">
        <v>44298</v>
      </c>
      <c r="C40" s="43" t="s">
        <v>346</v>
      </c>
      <c r="D40" s="34"/>
      <c r="E40" s="34"/>
      <c r="F40" s="34"/>
      <c r="G40" s="34"/>
      <c r="H40" s="18">
        <v>300</v>
      </c>
      <c r="I40" s="19"/>
      <c r="J40" s="20">
        <f t="shared" si="0"/>
        <v>0</v>
      </c>
      <c r="K40" s="20">
        <f t="shared" si="1"/>
        <v>212942.02000000002</v>
      </c>
    </row>
    <row r="41" spans="2:11" ht="18.75" x14ac:dyDescent="0.3">
      <c r="B41" s="47">
        <v>44298</v>
      </c>
      <c r="C41" s="21" t="s">
        <v>347</v>
      </c>
      <c r="D41" s="34"/>
      <c r="E41" s="34"/>
      <c r="F41" s="34"/>
      <c r="G41" s="34"/>
      <c r="H41" s="18">
        <v>82</v>
      </c>
      <c r="I41" s="19"/>
      <c r="J41" s="20">
        <f t="shared" si="0"/>
        <v>0</v>
      </c>
      <c r="K41" s="20">
        <f t="shared" si="1"/>
        <v>212860.02000000002</v>
      </c>
    </row>
    <row r="42" spans="2:11" ht="18.75" x14ac:dyDescent="0.3">
      <c r="B42" s="47">
        <v>44298</v>
      </c>
      <c r="C42" s="54" t="s">
        <v>348</v>
      </c>
      <c r="D42" s="34"/>
      <c r="E42" s="34"/>
      <c r="F42" s="34"/>
      <c r="G42" s="34"/>
      <c r="H42" s="18">
        <v>175</v>
      </c>
      <c r="I42" s="19"/>
      <c r="J42" s="20">
        <f t="shared" si="0"/>
        <v>0</v>
      </c>
      <c r="K42" s="20">
        <f t="shared" si="1"/>
        <v>212685.02000000002</v>
      </c>
    </row>
    <row r="43" spans="2:11" ht="18.75" x14ac:dyDescent="0.3">
      <c r="B43" s="22">
        <v>44299</v>
      </c>
      <c r="C43" s="43" t="s">
        <v>349</v>
      </c>
      <c r="D43" s="18"/>
      <c r="E43" s="18"/>
      <c r="F43" s="18"/>
      <c r="G43" s="18"/>
      <c r="H43" s="18">
        <v>300</v>
      </c>
      <c r="I43" s="19"/>
      <c r="J43" s="20">
        <f t="shared" si="0"/>
        <v>0</v>
      </c>
      <c r="K43" s="20">
        <f t="shared" si="1"/>
        <v>212385.02000000002</v>
      </c>
    </row>
    <row r="44" spans="2:11" ht="18.75" x14ac:dyDescent="0.3">
      <c r="B44" s="42">
        <v>44299</v>
      </c>
      <c r="C44" s="54" t="s">
        <v>350</v>
      </c>
      <c r="D44" s="34"/>
      <c r="E44" s="18"/>
      <c r="F44" s="18"/>
      <c r="G44" s="18"/>
      <c r="H44" s="18">
        <v>1785</v>
      </c>
      <c r="I44" s="19"/>
      <c r="J44" s="20">
        <f t="shared" si="0"/>
        <v>0</v>
      </c>
      <c r="K44" s="20">
        <f t="shared" si="1"/>
        <v>210600.02000000002</v>
      </c>
    </row>
    <row r="45" spans="2:11" ht="18.75" x14ac:dyDescent="0.3">
      <c r="B45" s="44">
        <v>44299</v>
      </c>
      <c r="C45" s="33" t="s">
        <v>354</v>
      </c>
      <c r="D45" s="34"/>
      <c r="E45" s="18"/>
      <c r="F45" s="18"/>
      <c r="G45" s="18"/>
      <c r="H45" s="18">
        <v>1200</v>
      </c>
      <c r="I45" s="19"/>
      <c r="J45" s="20">
        <f t="shared" ref="J45:J47" si="2">+J44+E45-G45</f>
        <v>0</v>
      </c>
      <c r="K45" s="20">
        <f t="shared" ref="K45:K47" si="3">+K44+D45-H45</f>
        <v>209400.02000000002</v>
      </c>
    </row>
    <row r="46" spans="2:11" ht="18.75" x14ac:dyDescent="0.3">
      <c r="B46" s="44">
        <v>44299</v>
      </c>
      <c r="C46" s="33" t="s">
        <v>351</v>
      </c>
      <c r="D46" s="34"/>
      <c r="E46" s="18"/>
      <c r="F46" s="18"/>
      <c r="G46" s="18"/>
      <c r="H46" s="18">
        <v>480</v>
      </c>
      <c r="I46" s="19"/>
      <c r="J46" s="20">
        <f t="shared" si="2"/>
        <v>0</v>
      </c>
      <c r="K46" s="20">
        <f t="shared" si="3"/>
        <v>208920.02000000002</v>
      </c>
    </row>
    <row r="47" spans="2:11" ht="19.5" thickBot="1" x14ac:dyDescent="0.35">
      <c r="B47" s="42">
        <v>44300</v>
      </c>
      <c r="C47" s="33" t="s">
        <v>352</v>
      </c>
      <c r="D47" s="34"/>
      <c r="E47" s="18"/>
      <c r="F47" s="18"/>
      <c r="G47" s="18"/>
      <c r="H47" s="18">
        <v>250</v>
      </c>
      <c r="I47" s="19"/>
      <c r="J47" s="20">
        <f t="shared" si="2"/>
        <v>0</v>
      </c>
      <c r="K47" s="20">
        <f t="shared" si="3"/>
        <v>208670.02000000002</v>
      </c>
    </row>
    <row r="48" spans="2:11" ht="19.5" thickBot="1" x14ac:dyDescent="0.35">
      <c r="B48" s="25"/>
      <c r="C48" s="26" t="s">
        <v>0</v>
      </c>
      <c r="D48" s="27">
        <f>SUM(D4:D47)</f>
        <v>77800</v>
      </c>
      <c r="E48" s="28">
        <f>SUM(E4:E47)</f>
        <v>0</v>
      </c>
      <c r="F48" s="29">
        <f>SUM(D48:E48)</f>
        <v>77800</v>
      </c>
      <c r="G48" s="30">
        <f>SUM(G4:G47)</f>
        <v>0</v>
      </c>
      <c r="H48" s="27">
        <f>SUM(H4:H47)</f>
        <v>34035.57</v>
      </c>
      <c r="I48" s="29">
        <f>SUM(G48:H48)</f>
        <v>34035.57</v>
      </c>
      <c r="J48" s="20"/>
      <c r="K48" s="20"/>
    </row>
    <row r="49" spans="2:11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1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1" ht="19.5" thickBot="1" x14ac:dyDescent="0.35">
      <c r="B51" s="25"/>
      <c r="C51" s="26"/>
      <c r="D51" s="27">
        <v>77800</v>
      </c>
      <c r="E51" s="28">
        <v>0</v>
      </c>
      <c r="F51" s="29">
        <f>SUM(D51:E51)</f>
        <v>77800</v>
      </c>
      <c r="G51" s="30">
        <v>0</v>
      </c>
      <c r="H51" s="27">
        <v>34035.57</v>
      </c>
      <c r="I51" s="29">
        <f>SUM(G51:H51)</f>
        <v>34035.57</v>
      </c>
      <c r="J51" s="53">
        <v>0</v>
      </c>
      <c r="K51" s="53">
        <v>0</v>
      </c>
    </row>
    <row r="52" spans="2:11" ht="18.75" x14ac:dyDescent="0.3">
      <c r="B52" s="42">
        <v>44300</v>
      </c>
      <c r="C52" s="33" t="s">
        <v>275</v>
      </c>
      <c r="D52" s="34"/>
      <c r="E52" s="18"/>
      <c r="F52" s="18"/>
      <c r="G52" s="18"/>
      <c r="H52" s="18">
        <v>192</v>
      </c>
      <c r="I52" s="19"/>
      <c r="J52" s="20">
        <f>+J47+E52-G52</f>
        <v>0</v>
      </c>
      <c r="K52" s="20">
        <f>+K47+D52-H52</f>
        <v>208478.02000000002</v>
      </c>
    </row>
    <row r="53" spans="2:11" ht="18.75" x14ac:dyDescent="0.3">
      <c r="B53" s="47">
        <v>44300</v>
      </c>
      <c r="C53" s="33" t="s">
        <v>353</v>
      </c>
      <c r="D53" s="34"/>
      <c r="E53" s="18"/>
      <c r="F53" s="18"/>
      <c r="G53" s="18"/>
      <c r="H53" s="18">
        <v>900</v>
      </c>
      <c r="I53" s="19"/>
      <c r="J53" s="20">
        <f>+J52+E53-G53</f>
        <v>0</v>
      </c>
      <c r="K53" s="20">
        <f>+K52+D53-H53</f>
        <v>207578.02000000002</v>
      </c>
    </row>
    <row r="54" spans="2:11" ht="18.75" x14ac:dyDescent="0.3">
      <c r="B54" s="42">
        <v>44301</v>
      </c>
      <c r="C54" s="33" t="s">
        <v>352</v>
      </c>
      <c r="D54" s="34"/>
      <c r="E54" s="18"/>
      <c r="F54" s="18"/>
      <c r="G54" s="18"/>
      <c r="H54" s="18">
        <v>100</v>
      </c>
      <c r="I54" s="19"/>
      <c r="J54" s="20">
        <f t="shared" ref="J54:J104" si="4">+J53+E54-G54</f>
        <v>0</v>
      </c>
      <c r="K54" s="20">
        <f t="shared" ref="K54:K104" si="5">+K53+D54-H54</f>
        <v>207478.02000000002</v>
      </c>
    </row>
    <row r="55" spans="2:11" ht="18.75" x14ac:dyDescent="0.3">
      <c r="B55" s="42">
        <v>44301</v>
      </c>
      <c r="C55" s="33" t="s">
        <v>329</v>
      </c>
      <c r="D55" s="34"/>
      <c r="E55" s="18"/>
      <c r="F55" s="18"/>
      <c r="G55" s="18"/>
      <c r="H55" s="18">
        <v>450</v>
      </c>
      <c r="I55" s="19"/>
      <c r="J55" s="20">
        <f t="shared" si="4"/>
        <v>0</v>
      </c>
      <c r="K55" s="20">
        <f t="shared" si="5"/>
        <v>207028.02000000002</v>
      </c>
    </row>
    <row r="56" spans="2:11" ht="18.75" x14ac:dyDescent="0.3">
      <c r="B56" s="42">
        <v>44301</v>
      </c>
      <c r="C56" s="33" t="s">
        <v>170</v>
      </c>
      <c r="D56" s="34"/>
      <c r="E56" s="18"/>
      <c r="F56" s="18"/>
      <c r="G56" s="18"/>
      <c r="H56" s="18">
        <v>250</v>
      </c>
      <c r="I56" s="19"/>
      <c r="J56" s="20">
        <f t="shared" si="4"/>
        <v>0</v>
      </c>
      <c r="K56" s="20">
        <f t="shared" si="5"/>
        <v>206778.02000000002</v>
      </c>
    </row>
    <row r="57" spans="2:11" ht="18.75" x14ac:dyDescent="0.3">
      <c r="B57" s="42">
        <v>44301</v>
      </c>
      <c r="C57" s="33" t="s">
        <v>171</v>
      </c>
      <c r="D57" s="34"/>
      <c r="E57" s="18"/>
      <c r="F57" s="18"/>
      <c r="G57" s="18"/>
      <c r="H57" s="18">
        <v>300</v>
      </c>
      <c r="I57" s="19"/>
      <c r="J57" s="20">
        <f t="shared" si="4"/>
        <v>0</v>
      </c>
      <c r="K57" s="20">
        <f t="shared" si="5"/>
        <v>206478.02000000002</v>
      </c>
    </row>
    <row r="58" spans="2:11" ht="18.75" x14ac:dyDescent="0.3">
      <c r="B58" s="42">
        <v>44301</v>
      </c>
      <c r="C58" s="33" t="s">
        <v>172</v>
      </c>
      <c r="D58" s="34"/>
      <c r="E58" s="18"/>
      <c r="F58" s="18"/>
      <c r="G58" s="18"/>
      <c r="H58" s="18">
        <v>650</v>
      </c>
      <c r="I58" s="19"/>
      <c r="J58" s="20">
        <f t="shared" si="4"/>
        <v>0</v>
      </c>
      <c r="K58" s="20">
        <f t="shared" si="5"/>
        <v>205828.02000000002</v>
      </c>
    </row>
    <row r="59" spans="2:11" ht="18.75" x14ac:dyDescent="0.3">
      <c r="B59" s="42">
        <v>44301</v>
      </c>
      <c r="C59" s="43" t="s">
        <v>230</v>
      </c>
      <c r="D59" s="34"/>
      <c r="E59" s="34"/>
      <c r="F59" s="34"/>
      <c r="G59" s="34"/>
      <c r="H59" s="18">
        <v>3000</v>
      </c>
      <c r="I59" s="19"/>
      <c r="J59" s="20">
        <f t="shared" si="4"/>
        <v>0</v>
      </c>
      <c r="K59" s="20">
        <f t="shared" si="5"/>
        <v>202828.02000000002</v>
      </c>
    </row>
    <row r="60" spans="2:11" ht="18.75" x14ac:dyDescent="0.3">
      <c r="B60" s="47">
        <v>44301</v>
      </c>
      <c r="C60" s="21" t="s">
        <v>231</v>
      </c>
      <c r="D60" s="34"/>
      <c r="E60" s="34"/>
      <c r="F60" s="34"/>
      <c r="G60" s="34"/>
      <c r="H60" s="18">
        <v>3400</v>
      </c>
      <c r="I60" s="19"/>
      <c r="J60" s="20">
        <f t="shared" si="4"/>
        <v>0</v>
      </c>
      <c r="K60" s="20">
        <f t="shared" si="5"/>
        <v>199428.02000000002</v>
      </c>
    </row>
    <row r="61" spans="2:11" ht="18.75" x14ac:dyDescent="0.3">
      <c r="B61" s="47">
        <v>44301</v>
      </c>
      <c r="C61" s="54" t="s">
        <v>81</v>
      </c>
      <c r="D61" s="34"/>
      <c r="E61" s="34"/>
      <c r="F61" s="34"/>
      <c r="G61" s="34"/>
      <c r="H61" s="18">
        <v>5000</v>
      </c>
      <c r="I61" s="19"/>
      <c r="J61" s="20">
        <f t="shared" si="4"/>
        <v>0</v>
      </c>
      <c r="K61" s="20">
        <f t="shared" si="5"/>
        <v>194428.02000000002</v>
      </c>
    </row>
    <row r="62" spans="2:11" ht="18.75" x14ac:dyDescent="0.3">
      <c r="B62" s="22">
        <v>44301</v>
      </c>
      <c r="C62" s="43" t="s">
        <v>448</v>
      </c>
      <c r="D62" s="18"/>
      <c r="E62" s="18"/>
      <c r="F62" s="18"/>
      <c r="G62" s="18"/>
      <c r="H62" s="18">
        <v>6000</v>
      </c>
      <c r="I62" s="19"/>
      <c r="J62" s="20">
        <f t="shared" si="4"/>
        <v>0</v>
      </c>
      <c r="K62" s="20">
        <f t="shared" si="5"/>
        <v>188428.02000000002</v>
      </c>
    </row>
    <row r="63" spans="2:11" ht="18.75" x14ac:dyDescent="0.3">
      <c r="B63" s="42">
        <v>44301</v>
      </c>
      <c r="C63" s="43" t="s">
        <v>83</v>
      </c>
      <c r="D63" s="18"/>
      <c r="E63" s="18"/>
      <c r="F63" s="18"/>
      <c r="G63" s="18"/>
      <c r="H63" s="18">
        <v>29250</v>
      </c>
      <c r="I63" s="19"/>
      <c r="J63" s="20">
        <f t="shared" si="4"/>
        <v>0</v>
      </c>
      <c r="K63" s="20">
        <f t="shared" si="5"/>
        <v>159178.02000000002</v>
      </c>
    </row>
    <row r="64" spans="2:11" ht="18.75" x14ac:dyDescent="0.3">
      <c r="B64" s="44">
        <v>44301</v>
      </c>
      <c r="C64" s="43" t="s">
        <v>84</v>
      </c>
      <c r="D64" s="34"/>
      <c r="E64" s="18"/>
      <c r="F64" s="18"/>
      <c r="G64" s="18"/>
      <c r="H64" s="18">
        <v>5550</v>
      </c>
      <c r="I64" s="19"/>
      <c r="J64" s="20">
        <f t="shared" si="4"/>
        <v>0</v>
      </c>
      <c r="K64" s="20">
        <f t="shared" si="5"/>
        <v>153628.02000000002</v>
      </c>
    </row>
    <row r="65" spans="2:13" ht="18.75" x14ac:dyDescent="0.3">
      <c r="B65" s="42">
        <v>44302</v>
      </c>
      <c r="C65" s="54" t="s">
        <v>130</v>
      </c>
      <c r="D65" s="34"/>
      <c r="E65" s="18"/>
      <c r="F65" s="18"/>
      <c r="G65" s="18"/>
      <c r="H65" s="18">
        <v>424.9</v>
      </c>
      <c r="I65" s="19"/>
      <c r="J65" s="20">
        <f t="shared" si="4"/>
        <v>0</v>
      </c>
      <c r="K65" s="20">
        <f t="shared" si="5"/>
        <v>153203.12000000002</v>
      </c>
    </row>
    <row r="66" spans="2:13" ht="18.75" x14ac:dyDescent="0.3">
      <c r="B66" s="42">
        <v>44302</v>
      </c>
      <c r="C66" s="21" t="s">
        <v>355</v>
      </c>
      <c r="D66" s="18"/>
      <c r="E66" s="18"/>
      <c r="F66" s="18"/>
      <c r="G66" s="18"/>
      <c r="H66" s="18">
        <v>82</v>
      </c>
      <c r="I66" s="19"/>
      <c r="J66" s="20">
        <f t="shared" si="4"/>
        <v>0</v>
      </c>
      <c r="K66" s="20">
        <f t="shared" si="5"/>
        <v>153121.12000000002</v>
      </c>
    </row>
    <row r="67" spans="2:13" ht="18.75" x14ac:dyDescent="0.3">
      <c r="B67" s="42">
        <v>44302</v>
      </c>
      <c r="C67" s="43" t="s">
        <v>356</v>
      </c>
      <c r="D67" s="18"/>
      <c r="E67" s="18"/>
      <c r="F67" s="18"/>
      <c r="G67" s="18"/>
      <c r="H67" s="18">
        <v>191</v>
      </c>
      <c r="I67" s="19"/>
      <c r="J67" s="20">
        <f t="shared" si="4"/>
        <v>0</v>
      </c>
      <c r="K67" s="20">
        <f t="shared" si="5"/>
        <v>152930.12000000002</v>
      </c>
    </row>
    <row r="68" spans="2:13" ht="18.75" x14ac:dyDescent="0.3">
      <c r="B68" s="42">
        <v>44302</v>
      </c>
      <c r="C68" s="43" t="s">
        <v>357</v>
      </c>
      <c r="D68" s="18"/>
      <c r="E68" s="18"/>
      <c r="F68" s="18"/>
      <c r="G68" s="18"/>
      <c r="H68" s="18">
        <v>226.5</v>
      </c>
      <c r="I68" s="19"/>
      <c r="J68" s="20">
        <f t="shared" si="4"/>
        <v>0</v>
      </c>
      <c r="K68" s="20">
        <f t="shared" si="5"/>
        <v>152703.62000000002</v>
      </c>
    </row>
    <row r="69" spans="2:13" ht="18.75" x14ac:dyDescent="0.3">
      <c r="B69" s="42">
        <v>44303</v>
      </c>
      <c r="C69" s="43" t="s">
        <v>329</v>
      </c>
      <c r="D69" s="18"/>
      <c r="E69" s="18"/>
      <c r="F69" s="18"/>
      <c r="G69" s="18"/>
      <c r="H69" s="18">
        <v>400</v>
      </c>
      <c r="I69" s="19"/>
      <c r="J69" s="20">
        <f t="shared" si="4"/>
        <v>0</v>
      </c>
      <c r="K69" s="20">
        <f t="shared" si="5"/>
        <v>152303.62000000002</v>
      </c>
    </row>
    <row r="70" spans="2:13" ht="18.75" x14ac:dyDescent="0.3">
      <c r="B70" s="42">
        <v>44303</v>
      </c>
      <c r="C70" s="43" t="s">
        <v>341</v>
      </c>
      <c r="D70" s="18"/>
      <c r="E70" s="18"/>
      <c r="F70" s="18"/>
      <c r="G70" s="18"/>
      <c r="H70" s="18">
        <v>250</v>
      </c>
      <c r="I70" s="19"/>
      <c r="J70" s="20">
        <f t="shared" si="4"/>
        <v>0</v>
      </c>
      <c r="K70" s="20">
        <f t="shared" si="5"/>
        <v>152053.62000000002</v>
      </c>
    </row>
    <row r="71" spans="2:13" ht="18.75" x14ac:dyDescent="0.3">
      <c r="B71" s="42">
        <v>44304</v>
      </c>
      <c r="C71" s="43" t="s">
        <v>358</v>
      </c>
      <c r="D71" s="18"/>
      <c r="E71" s="18"/>
      <c r="F71" s="18"/>
      <c r="G71" s="18"/>
      <c r="H71" s="18">
        <v>26</v>
      </c>
      <c r="I71" s="19"/>
      <c r="J71" s="20">
        <f t="shared" si="4"/>
        <v>0</v>
      </c>
      <c r="K71" s="20">
        <f t="shared" si="5"/>
        <v>152027.62000000002</v>
      </c>
    </row>
    <row r="72" spans="2:13" ht="18.75" x14ac:dyDescent="0.3">
      <c r="B72" s="42">
        <v>44304</v>
      </c>
      <c r="C72" s="33" t="s">
        <v>359</v>
      </c>
      <c r="D72" s="18"/>
      <c r="E72" s="18"/>
      <c r="F72" s="18"/>
      <c r="G72" s="18"/>
      <c r="H72" s="18">
        <v>66</v>
      </c>
      <c r="I72" s="19"/>
      <c r="J72" s="20">
        <f t="shared" si="4"/>
        <v>0</v>
      </c>
      <c r="K72" s="20">
        <f t="shared" si="5"/>
        <v>151961.62000000002</v>
      </c>
      <c r="M72" s="1">
        <f>SUM(H62:H72)</f>
        <v>42466.400000000001</v>
      </c>
    </row>
    <row r="73" spans="2:13" ht="18.75" x14ac:dyDescent="0.3">
      <c r="B73" s="46">
        <v>44304</v>
      </c>
      <c r="C73" s="43" t="s">
        <v>360</v>
      </c>
      <c r="D73" s="18"/>
      <c r="E73" s="18"/>
      <c r="F73" s="18"/>
      <c r="G73" s="18"/>
      <c r="H73" s="18">
        <v>100</v>
      </c>
      <c r="I73" s="19"/>
      <c r="J73" s="20">
        <f t="shared" si="4"/>
        <v>0</v>
      </c>
      <c r="K73" s="20">
        <f t="shared" si="5"/>
        <v>151861.62000000002</v>
      </c>
    </row>
    <row r="74" spans="2:13" ht="18.75" x14ac:dyDescent="0.3">
      <c r="B74" s="22">
        <v>44304</v>
      </c>
      <c r="C74" s="33" t="s">
        <v>361</v>
      </c>
      <c r="D74" s="18"/>
      <c r="E74" s="18"/>
      <c r="F74" s="18"/>
      <c r="G74" s="18"/>
      <c r="H74" s="18">
        <v>200</v>
      </c>
      <c r="I74" s="19"/>
      <c r="J74" s="20">
        <f t="shared" si="4"/>
        <v>0</v>
      </c>
      <c r="K74" s="20">
        <f t="shared" si="5"/>
        <v>151661.62000000002</v>
      </c>
    </row>
    <row r="75" spans="2:13" ht="18.75" x14ac:dyDescent="0.3">
      <c r="B75" s="22">
        <v>44304</v>
      </c>
      <c r="C75" s="51" t="s">
        <v>362</v>
      </c>
      <c r="D75" s="34"/>
      <c r="E75" s="18"/>
      <c r="F75" s="18"/>
      <c r="G75" s="18"/>
      <c r="H75" s="18">
        <v>200</v>
      </c>
      <c r="I75" s="19"/>
      <c r="J75" s="20">
        <f t="shared" si="4"/>
        <v>0</v>
      </c>
      <c r="K75" s="20">
        <f t="shared" si="5"/>
        <v>151461.62000000002</v>
      </c>
    </row>
    <row r="76" spans="2:13" ht="18.75" x14ac:dyDescent="0.3">
      <c r="B76" s="44">
        <v>44304</v>
      </c>
      <c r="C76" s="51" t="s">
        <v>341</v>
      </c>
      <c r="D76" s="34"/>
      <c r="E76" s="18"/>
      <c r="F76" s="18"/>
      <c r="G76" s="18"/>
      <c r="H76" s="18">
        <v>200</v>
      </c>
      <c r="I76" s="19"/>
      <c r="J76" s="20">
        <f t="shared" si="4"/>
        <v>0</v>
      </c>
      <c r="K76" s="20">
        <f t="shared" si="5"/>
        <v>151261.62000000002</v>
      </c>
    </row>
    <row r="77" spans="2:13" ht="18.75" x14ac:dyDescent="0.3">
      <c r="B77" s="47">
        <v>44304</v>
      </c>
      <c r="C77" s="43" t="s">
        <v>366</v>
      </c>
      <c r="D77" s="34"/>
      <c r="E77" s="18"/>
      <c r="F77" s="18"/>
      <c r="G77" s="18"/>
      <c r="H77" s="18">
        <v>300</v>
      </c>
      <c r="I77" s="19"/>
      <c r="J77" s="20">
        <f t="shared" si="4"/>
        <v>0</v>
      </c>
      <c r="K77" s="20">
        <f t="shared" si="5"/>
        <v>150961.62000000002</v>
      </c>
    </row>
    <row r="78" spans="2:13" ht="18.75" x14ac:dyDescent="0.3">
      <c r="B78" s="47">
        <v>44304</v>
      </c>
      <c r="C78" s="43" t="s">
        <v>90</v>
      </c>
      <c r="D78" s="34">
        <v>31900</v>
      </c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182861.62000000002</v>
      </c>
    </row>
    <row r="79" spans="2:13" ht="18.75" x14ac:dyDescent="0.3">
      <c r="B79" s="47">
        <v>44305</v>
      </c>
      <c r="C79" s="43" t="s">
        <v>363</v>
      </c>
      <c r="D79" s="34"/>
      <c r="E79" s="18"/>
      <c r="F79" s="18"/>
      <c r="G79" s="18"/>
      <c r="H79" s="18">
        <v>150</v>
      </c>
      <c r="I79" s="19"/>
      <c r="J79" s="20">
        <f t="shared" si="4"/>
        <v>0</v>
      </c>
      <c r="K79" s="20">
        <f t="shared" si="5"/>
        <v>182711.62000000002</v>
      </c>
    </row>
    <row r="80" spans="2:13" ht="18.75" x14ac:dyDescent="0.3">
      <c r="B80" s="47">
        <v>44305</v>
      </c>
      <c r="C80" s="21" t="s">
        <v>364</v>
      </c>
      <c r="D80" s="34"/>
      <c r="E80" s="18"/>
      <c r="F80" s="18"/>
      <c r="G80" s="18"/>
      <c r="H80" s="18">
        <v>600</v>
      </c>
      <c r="I80" s="19"/>
      <c r="J80" s="20">
        <f t="shared" si="4"/>
        <v>0</v>
      </c>
      <c r="K80" s="20">
        <f t="shared" si="5"/>
        <v>182111.62000000002</v>
      </c>
    </row>
    <row r="81" spans="2:13" ht="18.75" x14ac:dyDescent="0.3">
      <c r="B81" s="47">
        <v>44305</v>
      </c>
      <c r="C81" s="43" t="s">
        <v>365</v>
      </c>
      <c r="D81" s="34"/>
      <c r="E81" s="18"/>
      <c r="F81" s="18"/>
      <c r="G81" s="18"/>
      <c r="H81" s="18">
        <v>86</v>
      </c>
      <c r="I81" s="19"/>
      <c r="J81" s="20">
        <f t="shared" si="4"/>
        <v>0</v>
      </c>
      <c r="K81" s="20">
        <f t="shared" si="5"/>
        <v>182025.62000000002</v>
      </c>
    </row>
    <row r="82" spans="2:13" ht="18.75" x14ac:dyDescent="0.3">
      <c r="B82" s="47">
        <v>44305</v>
      </c>
      <c r="C82" s="43" t="s">
        <v>327</v>
      </c>
      <c r="D82" s="34"/>
      <c r="E82" s="18"/>
      <c r="F82" s="18"/>
      <c r="G82" s="18"/>
      <c r="H82" s="18">
        <v>120</v>
      </c>
      <c r="I82" s="19"/>
      <c r="J82" s="20">
        <f t="shared" si="4"/>
        <v>0</v>
      </c>
      <c r="K82" s="20">
        <f t="shared" si="5"/>
        <v>181905.62000000002</v>
      </c>
    </row>
    <row r="83" spans="2:13" ht="18.75" x14ac:dyDescent="0.3">
      <c r="B83" s="47">
        <v>44306</v>
      </c>
      <c r="C83" s="43" t="s">
        <v>341</v>
      </c>
      <c r="D83" s="34"/>
      <c r="E83" s="18"/>
      <c r="F83" s="18"/>
      <c r="G83" s="18"/>
      <c r="H83" s="18">
        <v>250</v>
      </c>
      <c r="I83" s="19"/>
      <c r="J83" s="20">
        <f t="shared" si="4"/>
        <v>0</v>
      </c>
      <c r="K83" s="20">
        <f t="shared" si="5"/>
        <v>181655.62000000002</v>
      </c>
    </row>
    <row r="84" spans="2:13" ht="18.75" x14ac:dyDescent="0.3">
      <c r="B84" s="47">
        <v>44306</v>
      </c>
      <c r="C84" s="43" t="s">
        <v>103</v>
      </c>
      <c r="D84" s="34"/>
      <c r="E84" s="18"/>
      <c r="F84" s="18"/>
      <c r="G84" s="18"/>
      <c r="H84" s="23">
        <v>200</v>
      </c>
      <c r="I84" s="19"/>
      <c r="J84" s="20">
        <f t="shared" ref="J84:J94" si="6">+J83+E84-G84</f>
        <v>0</v>
      </c>
      <c r="K84" s="20">
        <f t="shared" ref="K84:K94" si="7">+K83+D84-H84</f>
        <v>181455.62000000002</v>
      </c>
    </row>
    <row r="85" spans="2:13" ht="18.75" x14ac:dyDescent="0.3">
      <c r="B85" s="47">
        <v>44306</v>
      </c>
      <c r="C85" s="43" t="s">
        <v>337</v>
      </c>
      <c r="D85" s="34"/>
      <c r="E85" s="18"/>
      <c r="F85" s="18"/>
      <c r="G85" s="18"/>
      <c r="H85" s="23">
        <v>66.5</v>
      </c>
      <c r="I85" s="19"/>
      <c r="J85" s="20">
        <f t="shared" si="6"/>
        <v>0</v>
      </c>
      <c r="K85" s="20">
        <f t="shared" si="7"/>
        <v>181389.12000000002</v>
      </c>
      <c r="M85" s="1">
        <f>SUM(H84:H92)</f>
        <v>2110</v>
      </c>
    </row>
    <row r="86" spans="2:13" ht="18.75" x14ac:dyDescent="0.3">
      <c r="B86" s="49">
        <v>44307</v>
      </c>
      <c r="C86" s="21" t="s">
        <v>367</v>
      </c>
      <c r="D86" s="34"/>
      <c r="E86" s="34"/>
      <c r="F86" s="34"/>
      <c r="G86" s="18"/>
      <c r="H86" s="23">
        <v>80.5</v>
      </c>
      <c r="I86" s="19"/>
      <c r="J86" s="20">
        <f t="shared" si="6"/>
        <v>0</v>
      </c>
      <c r="K86" s="20">
        <f t="shared" si="7"/>
        <v>181308.62000000002</v>
      </c>
    </row>
    <row r="87" spans="2:13" ht="18.75" x14ac:dyDescent="0.3">
      <c r="B87" s="49">
        <v>44307</v>
      </c>
      <c r="C87" s="21" t="s">
        <v>368</v>
      </c>
      <c r="D87" s="34"/>
      <c r="E87" s="34"/>
      <c r="F87" s="34"/>
      <c r="G87" s="18"/>
      <c r="H87" s="23">
        <v>8</v>
      </c>
      <c r="I87" s="19"/>
      <c r="J87" s="20">
        <f t="shared" si="6"/>
        <v>0</v>
      </c>
      <c r="K87" s="20">
        <f t="shared" si="7"/>
        <v>181300.62000000002</v>
      </c>
    </row>
    <row r="88" spans="2:13" ht="18.75" x14ac:dyDescent="0.3">
      <c r="B88" s="49">
        <v>44308</v>
      </c>
      <c r="C88" s="21" t="s">
        <v>369</v>
      </c>
      <c r="D88" s="34"/>
      <c r="E88" s="34"/>
      <c r="F88" s="34"/>
      <c r="G88" s="18"/>
      <c r="H88" s="23">
        <v>523</v>
      </c>
      <c r="I88" s="19"/>
      <c r="J88" s="20">
        <f t="shared" si="6"/>
        <v>0</v>
      </c>
      <c r="K88" s="20">
        <f t="shared" si="7"/>
        <v>180777.62000000002</v>
      </c>
    </row>
    <row r="89" spans="2:13" ht="18.75" x14ac:dyDescent="0.3">
      <c r="B89" s="49">
        <v>44308</v>
      </c>
      <c r="C89" s="24" t="s">
        <v>370</v>
      </c>
      <c r="D89" s="34"/>
      <c r="E89" s="34"/>
      <c r="F89" s="34"/>
      <c r="G89" s="18"/>
      <c r="H89" s="18">
        <v>500</v>
      </c>
      <c r="I89" s="19"/>
      <c r="J89" s="20">
        <f t="shared" si="6"/>
        <v>0</v>
      </c>
      <c r="K89" s="20">
        <f t="shared" si="7"/>
        <v>180277.62000000002</v>
      </c>
    </row>
    <row r="90" spans="2:13" ht="18.75" x14ac:dyDescent="0.3">
      <c r="B90" s="49">
        <v>44308</v>
      </c>
      <c r="C90" s="21" t="s">
        <v>329</v>
      </c>
      <c r="D90" s="34"/>
      <c r="E90" s="34"/>
      <c r="F90" s="34"/>
      <c r="G90" s="18"/>
      <c r="H90" s="23">
        <v>400</v>
      </c>
      <c r="I90" s="19"/>
      <c r="J90" s="20">
        <f t="shared" si="6"/>
        <v>0</v>
      </c>
      <c r="K90" s="20">
        <f t="shared" si="7"/>
        <v>179877.62000000002</v>
      </c>
    </row>
    <row r="91" spans="2:13" ht="18.75" x14ac:dyDescent="0.3">
      <c r="B91" s="49">
        <v>44309</v>
      </c>
      <c r="C91" s="17" t="s">
        <v>371</v>
      </c>
      <c r="D91" s="34"/>
      <c r="E91" s="34"/>
      <c r="F91" s="34"/>
      <c r="G91" s="18"/>
      <c r="H91" s="23">
        <v>250</v>
      </c>
      <c r="I91" s="19"/>
      <c r="J91" s="20">
        <f t="shared" si="6"/>
        <v>0</v>
      </c>
      <c r="K91" s="20">
        <f t="shared" si="7"/>
        <v>179627.62000000002</v>
      </c>
    </row>
    <row r="92" spans="2:13" ht="18.75" x14ac:dyDescent="0.3">
      <c r="B92" s="49">
        <v>44309</v>
      </c>
      <c r="C92" s="24" t="s">
        <v>347</v>
      </c>
      <c r="D92" s="34"/>
      <c r="E92" s="34"/>
      <c r="F92" s="34"/>
      <c r="G92" s="18"/>
      <c r="H92" s="23">
        <v>82</v>
      </c>
      <c r="I92" s="19"/>
      <c r="J92" s="20">
        <f t="shared" si="6"/>
        <v>0</v>
      </c>
      <c r="K92" s="20">
        <f t="shared" si="7"/>
        <v>179545.62000000002</v>
      </c>
    </row>
    <row r="93" spans="2:13" ht="18.75" x14ac:dyDescent="0.3">
      <c r="B93" s="49">
        <v>44310</v>
      </c>
      <c r="C93" s="24" t="s">
        <v>372</v>
      </c>
      <c r="D93" s="34"/>
      <c r="E93" s="18"/>
      <c r="F93" s="18"/>
      <c r="G93" s="18"/>
      <c r="H93" s="18">
        <v>550</v>
      </c>
      <c r="I93" s="19"/>
      <c r="J93" s="20">
        <f t="shared" si="6"/>
        <v>0</v>
      </c>
      <c r="K93" s="20">
        <f t="shared" si="7"/>
        <v>178995.62000000002</v>
      </c>
    </row>
    <row r="94" spans="2:13" ht="19.5" thickBot="1" x14ac:dyDescent="0.35">
      <c r="B94" s="49">
        <v>44310</v>
      </c>
      <c r="C94" s="24" t="s">
        <v>373</v>
      </c>
      <c r="D94" s="34"/>
      <c r="E94" s="18"/>
      <c r="F94" s="18"/>
      <c r="G94" s="18"/>
      <c r="H94" s="18">
        <v>150</v>
      </c>
      <c r="I94" s="19"/>
      <c r="J94" s="20">
        <f t="shared" si="6"/>
        <v>0</v>
      </c>
      <c r="K94" s="20">
        <f t="shared" si="7"/>
        <v>178845.62000000002</v>
      </c>
    </row>
    <row r="95" spans="2:13" ht="19.5" thickBot="1" x14ac:dyDescent="0.35">
      <c r="B95" s="25"/>
      <c r="C95" s="26" t="s">
        <v>0</v>
      </c>
      <c r="D95" s="27">
        <f>SUM(D51:D94)</f>
        <v>109700</v>
      </c>
      <c r="E95" s="28">
        <f>SUM(E51:E94)</f>
        <v>0</v>
      </c>
      <c r="F95" s="29">
        <f>SUM(D95:E95)</f>
        <v>109700</v>
      </c>
      <c r="G95" s="30">
        <f>SUM(G51:G94)</f>
        <v>0</v>
      </c>
      <c r="H95" s="27">
        <f>SUM(H51:H94)</f>
        <v>95759.97</v>
      </c>
      <c r="I95" s="29">
        <f>SUM(G95:H95)</f>
        <v>95759.97</v>
      </c>
      <c r="J95" s="20"/>
      <c r="K95" s="20"/>
    </row>
    <row r="96" spans="2:13" ht="18.75" x14ac:dyDescent="0.3">
      <c r="B96" s="7" t="s">
        <v>1</v>
      </c>
      <c r="C96" s="7" t="s">
        <v>2</v>
      </c>
      <c r="D96" s="7" t="s">
        <v>3</v>
      </c>
      <c r="E96" s="7" t="s">
        <v>3</v>
      </c>
      <c r="F96" s="7" t="s">
        <v>8</v>
      </c>
      <c r="G96" s="7" t="s">
        <v>9</v>
      </c>
      <c r="H96" s="8" t="s">
        <v>9</v>
      </c>
      <c r="I96" s="8" t="s">
        <v>8</v>
      </c>
      <c r="J96" s="7" t="s">
        <v>7</v>
      </c>
      <c r="K96" s="8" t="s">
        <v>6</v>
      </c>
    </row>
    <row r="97" spans="2:11" ht="19.5" thickBot="1" x14ac:dyDescent="0.35">
      <c r="B97" s="9"/>
      <c r="C97" s="9"/>
      <c r="D97" s="9" t="s">
        <v>5</v>
      </c>
      <c r="E97" s="9" t="s">
        <v>7</v>
      </c>
      <c r="F97" s="9" t="s">
        <v>3</v>
      </c>
      <c r="G97" s="9" t="s">
        <v>7</v>
      </c>
      <c r="H97" s="10" t="s">
        <v>5</v>
      </c>
      <c r="I97" s="10" t="s">
        <v>4</v>
      </c>
      <c r="J97" s="9"/>
      <c r="K97" s="10"/>
    </row>
    <row r="98" spans="2:11" ht="19.5" thickBot="1" x14ac:dyDescent="0.35">
      <c r="B98" s="25"/>
      <c r="C98" s="26"/>
      <c r="D98" s="27">
        <v>109700</v>
      </c>
      <c r="E98" s="28">
        <v>0</v>
      </c>
      <c r="F98" s="29">
        <f>SUM(D98:E98)</f>
        <v>109700</v>
      </c>
      <c r="G98" s="30">
        <v>0</v>
      </c>
      <c r="H98" s="27">
        <v>95759.97</v>
      </c>
      <c r="I98" s="29">
        <f>SUM(G98:H98)</f>
        <v>95759.97</v>
      </c>
      <c r="J98" s="53">
        <v>0</v>
      </c>
      <c r="K98" s="53">
        <v>0</v>
      </c>
    </row>
    <row r="99" spans="2:11" ht="18.75" x14ac:dyDescent="0.3">
      <c r="B99" s="49">
        <v>44310</v>
      </c>
      <c r="C99" s="21" t="s">
        <v>374</v>
      </c>
      <c r="D99" s="34"/>
      <c r="E99" s="18"/>
      <c r="F99" s="34"/>
      <c r="G99" s="18"/>
      <c r="H99" s="23">
        <v>200</v>
      </c>
      <c r="I99" s="19"/>
      <c r="J99" s="20">
        <f t="shared" ref="J99" si="8">+J98+E99-G99</f>
        <v>0</v>
      </c>
      <c r="K99" s="20">
        <f>+K94+D99-H99</f>
        <v>178645.62000000002</v>
      </c>
    </row>
    <row r="100" spans="2:11" ht="18.75" x14ac:dyDescent="0.3">
      <c r="B100" s="49">
        <v>44311</v>
      </c>
      <c r="C100" s="21" t="s">
        <v>375</v>
      </c>
      <c r="D100" s="34"/>
      <c r="E100" s="18"/>
      <c r="F100" s="34"/>
      <c r="G100" s="18"/>
      <c r="H100" s="23">
        <v>182.9</v>
      </c>
      <c r="I100" s="19"/>
      <c r="J100" s="20">
        <f t="shared" si="4"/>
        <v>0</v>
      </c>
      <c r="K100" s="20">
        <f t="shared" si="5"/>
        <v>178462.72000000003</v>
      </c>
    </row>
    <row r="101" spans="2:11" ht="18.75" x14ac:dyDescent="0.3">
      <c r="B101" s="49">
        <v>44311</v>
      </c>
      <c r="C101" s="21" t="s">
        <v>376</v>
      </c>
      <c r="D101" s="34"/>
      <c r="E101" s="18"/>
      <c r="F101" s="34"/>
      <c r="G101" s="18"/>
      <c r="H101" s="23">
        <v>200</v>
      </c>
      <c r="I101" s="19"/>
      <c r="J101" s="20">
        <f t="shared" si="4"/>
        <v>0</v>
      </c>
      <c r="K101" s="20">
        <f t="shared" si="5"/>
        <v>178262.72000000003</v>
      </c>
    </row>
    <row r="102" spans="2:11" ht="18.75" x14ac:dyDescent="0.3">
      <c r="B102" s="49">
        <v>44311</v>
      </c>
      <c r="C102" s="17" t="s">
        <v>303</v>
      </c>
      <c r="D102" s="34"/>
      <c r="E102" s="34"/>
      <c r="F102" s="34"/>
      <c r="G102" s="18"/>
      <c r="H102" s="23">
        <v>100</v>
      </c>
      <c r="I102" s="19"/>
      <c r="J102" s="20">
        <f t="shared" si="4"/>
        <v>0</v>
      </c>
      <c r="K102" s="20">
        <f t="shared" si="5"/>
        <v>178162.72000000003</v>
      </c>
    </row>
    <row r="103" spans="2:11" ht="18.75" x14ac:dyDescent="0.3">
      <c r="B103" s="49">
        <v>44311</v>
      </c>
      <c r="C103" s="21" t="s">
        <v>183</v>
      </c>
      <c r="D103" s="34"/>
      <c r="E103" s="34"/>
      <c r="F103" s="34"/>
      <c r="G103" s="18"/>
      <c r="H103" s="23">
        <v>200</v>
      </c>
      <c r="I103" s="19"/>
      <c r="J103" s="20">
        <f t="shared" si="4"/>
        <v>0</v>
      </c>
      <c r="K103" s="20">
        <f t="shared" si="5"/>
        <v>177962.72000000003</v>
      </c>
    </row>
    <row r="104" spans="2:11" ht="18.75" x14ac:dyDescent="0.3">
      <c r="B104" s="49">
        <v>44311</v>
      </c>
      <c r="C104" s="17" t="s">
        <v>309</v>
      </c>
      <c r="D104" s="34">
        <v>28250</v>
      </c>
      <c r="E104" s="18"/>
      <c r="F104" s="18"/>
      <c r="G104" s="18"/>
      <c r="H104" s="23"/>
      <c r="I104" s="19"/>
      <c r="J104" s="20">
        <f t="shared" si="4"/>
        <v>0</v>
      </c>
      <c r="K104" s="20">
        <f t="shared" si="5"/>
        <v>206212.72000000003</v>
      </c>
    </row>
    <row r="105" spans="2:11" ht="18.75" x14ac:dyDescent="0.3">
      <c r="B105" s="49">
        <v>44312</v>
      </c>
      <c r="C105" s="17" t="s">
        <v>377</v>
      </c>
      <c r="D105" s="34"/>
      <c r="E105" s="18"/>
      <c r="F105" s="18"/>
      <c r="G105" s="18"/>
      <c r="H105" s="23">
        <v>300</v>
      </c>
      <c r="I105" s="19"/>
      <c r="J105" s="20">
        <f t="shared" ref="J105:J110" si="9">+J104+E105-G105</f>
        <v>0</v>
      </c>
      <c r="K105" s="20">
        <f t="shared" ref="K105:K110" si="10">+K104+D105-H105</f>
        <v>205912.72000000003</v>
      </c>
    </row>
    <row r="106" spans="2:11" ht="18.75" x14ac:dyDescent="0.3">
      <c r="B106" s="49">
        <v>44313</v>
      </c>
      <c r="C106" s="17" t="s">
        <v>329</v>
      </c>
      <c r="D106" s="34"/>
      <c r="E106" s="18"/>
      <c r="F106" s="18"/>
      <c r="G106" s="18"/>
      <c r="H106" s="23">
        <v>250</v>
      </c>
      <c r="I106" s="19"/>
      <c r="J106" s="20">
        <f t="shared" si="9"/>
        <v>0</v>
      </c>
      <c r="K106" s="20">
        <f t="shared" si="10"/>
        <v>205662.72000000003</v>
      </c>
    </row>
    <row r="107" spans="2:11" ht="18.75" x14ac:dyDescent="0.3">
      <c r="B107" s="49">
        <v>44313</v>
      </c>
      <c r="C107" s="17" t="s">
        <v>378</v>
      </c>
      <c r="D107" s="34"/>
      <c r="E107" s="18"/>
      <c r="F107" s="18"/>
      <c r="G107" s="18"/>
      <c r="H107" s="18">
        <v>380</v>
      </c>
      <c r="I107" s="19"/>
      <c r="J107" s="20">
        <f t="shared" si="9"/>
        <v>0</v>
      </c>
      <c r="K107" s="20">
        <f t="shared" si="10"/>
        <v>205282.72000000003</v>
      </c>
    </row>
    <row r="108" spans="2:11" ht="18.75" x14ac:dyDescent="0.3">
      <c r="B108" s="49">
        <v>44313</v>
      </c>
      <c r="C108" s="17" t="s">
        <v>349</v>
      </c>
      <c r="D108" s="34"/>
      <c r="E108" s="18"/>
      <c r="F108" s="18"/>
      <c r="G108" s="18"/>
      <c r="H108" s="23">
        <v>300</v>
      </c>
      <c r="I108" s="19"/>
      <c r="J108" s="20">
        <f t="shared" si="9"/>
        <v>0</v>
      </c>
      <c r="K108" s="20">
        <f t="shared" si="10"/>
        <v>204982.72000000003</v>
      </c>
    </row>
    <row r="109" spans="2:11" ht="18.75" x14ac:dyDescent="0.3">
      <c r="B109" s="49">
        <v>44314</v>
      </c>
      <c r="C109" s="17" t="s">
        <v>159</v>
      </c>
      <c r="D109" s="34"/>
      <c r="E109" s="18"/>
      <c r="F109" s="18"/>
      <c r="G109" s="18"/>
      <c r="H109" s="23">
        <v>350</v>
      </c>
      <c r="I109" s="19"/>
      <c r="J109" s="20">
        <f t="shared" si="9"/>
        <v>0</v>
      </c>
      <c r="K109" s="20">
        <f t="shared" si="10"/>
        <v>204632.72000000003</v>
      </c>
    </row>
    <row r="110" spans="2:11" ht="18.75" x14ac:dyDescent="0.3">
      <c r="B110" s="49">
        <v>44314</v>
      </c>
      <c r="C110" s="17" t="s">
        <v>369</v>
      </c>
      <c r="D110" s="34"/>
      <c r="E110" s="18"/>
      <c r="F110" s="18"/>
      <c r="G110" s="18"/>
      <c r="H110" s="23">
        <v>197</v>
      </c>
      <c r="I110" s="19"/>
      <c r="J110" s="20">
        <f t="shared" si="9"/>
        <v>0</v>
      </c>
      <c r="K110" s="20">
        <f t="shared" si="10"/>
        <v>204435.72000000003</v>
      </c>
    </row>
    <row r="111" spans="2:11" ht="18.75" x14ac:dyDescent="0.3">
      <c r="B111" s="49">
        <v>44314</v>
      </c>
      <c r="C111" s="17" t="s">
        <v>339</v>
      </c>
      <c r="D111" s="34"/>
      <c r="E111" s="18"/>
      <c r="F111" s="18"/>
      <c r="G111" s="18"/>
      <c r="H111" s="23">
        <v>125</v>
      </c>
      <c r="I111" s="19"/>
      <c r="J111" s="20">
        <f t="shared" ref="J111:J126" si="11">+J110+E111-G111</f>
        <v>0</v>
      </c>
      <c r="K111" s="20">
        <f t="shared" ref="K111:K126" si="12">+K110+D111-H111</f>
        <v>204310.72000000003</v>
      </c>
    </row>
    <row r="112" spans="2:11" ht="18.75" x14ac:dyDescent="0.3">
      <c r="B112" s="49">
        <v>44314</v>
      </c>
      <c r="C112" s="17" t="s">
        <v>380</v>
      </c>
      <c r="D112" s="34"/>
      <c r="E112" s="18"/>
      <c r="F112" s="18"/>
      <c r="G112" s="18"/>
      <c r="H112" s="18">
        <v>82</v>
      </c>
      <c r="I112" s="19"/>
      <c r="J112" s="20">
        <f t="shared" si="11"/>
        <v>0</v>
      </c>
      <c r="K112" s="20">
        <f t="shared" si="12"/>
        <v>204228.72000000003</v>
      </c>
    </row>
    <row r="113" spans="2:11" ht="18.75" x14ac:dyDescent="0.3">
      <c r="B113" s="49">
        <v>44314</v>
      </c>
      <c r="C113" s="17" t="s">
        <v>381</v>
      </c>
      <c r="D113" s="34"/>
      <c r="E113" s="18"/>
      <c r="F113" s="18"/>
      <c r="G113" s="18"/>
      <c r="H113" s="18">
        <v>307</v>
      </c>
      <c r="I113" s="19"/>
      <c r="J113" s="20">
        <f t="shared" si="11"/>
        <v>0</v>
      </c>
      <c r="K113" s="20">
        <f t="shared" si="12"/>
        <v>203921.72000000003</v>
      </c>
    </row>
    <row r="114" spans="2:11" ht="18.75" x14ac:dyDescent="0.3">
      <c r="B114" s="49">
        <v>44315</v>
      </c>
      <c r="C114" s="17" t="s">
        <v>382</v>
      </c>
      <c r="D114" s="34"/>
      <c r="E114" s="18"/>
      <c r="F114" s="18"/>
      <c r="G114" s="18"/>
      <c r="H114" s="18">
        <v>500</v>
      </c>
      <c r="I114" s="19"/>
      <c r="J114" s="20">
        <f t="shared" si="11"/>
        <v>0</v>
      </c>
      <c r="K114" s="20">
        <f t="shared" si="12"/>
        <v>203421.72000000003</v>
      </c>
    </row>
    <row r="115" spans="2:11" ht="18.75" x14ac:dyDescent="0.3">
      <c r="B115" s="49">
        <v>44316</v>
      </c>
      <c r="C115" s="17" t="s">
        <v>383</v>
      </c>
      <c r="D115" s="34"/>
      <c r="E115" s="18"/>
      <c r="F115" s="18"/>
      <c r="G115" s="18"/>
      <c r="H115" s="18">
        <v>5500</v>
      </c>
      <c r="I115" s="19"/>
      <c r="J115" s="20">
        <f t="shared" si="11"/>
        <v>0</v>
      </c>
      <c r="K115" s="20">
        <f t="shared" si="12"/>
        <v>197921.72000000003</v>
      </c>
    </row>
    <row r="116" spans="2:11" ht="18.75" x14ac:dyDescent="0.3">
      <c r="B116" s="49">
        <v>44316</v>
      </c>
      <c r="C116" s="17" t="s">
        <v>384</v>
      </c>
      <c r="D116" s="34"/>
      <c r="E116" s="18"/>
      <c r="F116" s="18"/>
      <c r="G116" s="18"/>
      <c r="H116" s="18">
        <v>400</v>
      </c>
      <c r="I116" s="19"/>
      <c r="J116" s="20">
        <f t="shared" si="11"/>
        <v>0</v>
      </c>
      <c r="K116" s="20">
        <f t="shared" si="12"/>
        <v>197521.72000000003</v>
      </c>
    </row>
    <row r="117" spans="2:11" ht="18.75" x14ac:dyDescent="0.3">
      <c r="B117" s="49">
        <v>44316</v>
      </c>
      <c r="C117" s="21" t="s">
        <v>184</v>
      </c>
      <c r="D117" s="34"/>
      <c r="E117" s="34"/>
      <c r="F117" s="34"/>
      <c r="G117" s="18"/>
      <c r="H117" s="18">
        <v>250</v>
      </c>
      <c r="I117" s="19"/>
      <c r="J117" s="20">
        <f t="shared" si="11"/>
        <v>0</v>
      </c>
      <c r="K117" s="20">
        <f t="shared" si="12"/>
        <v>197271.72000000003</v>
      </c>
    </row>
    <row r="118" spans="2:11" ht="18.75" x14ac:dyDescent="0.3">
      <c r="B118" s="49">
        <v>44316</v>
      </c>
      <c r="C118" s="21" t="s">
        <v>185</v>
      </c>
      <c r="D118" s="34"/>
      <c r="E118" s="34"/>
      <c r="F118" s="34"/>
      <c r="G118" s="18"/>
      <c r="H118" s="18">
        <v>300</v>
      </c>
      <c r="I118" s="19"/>
      <c r="J118" s="20">
        <f t="shared" si="11"/>
        <v>0</v>
      </c>
      <c r="K118" s="20">
        <f t="shared" si="12"/>
        <v>196971.72000000003</v>
      </c>
    </row>
    <row r="119" spans="2:11" ht="18.75" x14ac:dyDescent="0.3">
      <c r="B119" s="49">
        <v>37011</v>
      </c>
      <c r="C119" s="21" t="s">
        <v>186</v>
      </c>
      <c r="D119" s="34"/>
      <c r="E119" s="34"/>
      <c r="F119" s="34"/>
      <c r="G119" s="18"/>
      <c r="H119" s="18">
        <v>650</v>
      </c>
      <c r="I119" s="19"/>
      <c r="J119" s="20">
        <f t="shared" si="11"/>
        <v>0</v>
      </c>
      <c r="K119" s="20">
        <f t="shared" si="12"/>
        <v>196321.72000000003</v>
      </c>
    </row>
    <row r="120" spans="2:11" ht="18.75" x14ac:dyDescent="0.3">
      <c r="B120" s="49">
        <v>44316</v>
      </c>
      <c r="C120" s="24" t="s">
        <v>188</v>
      </c>
      <c r="D120" s="34"/>
      <c r="E120" s="34"/>
      <c r="F120" s="34"/>
      <c r="G120" s="18"/>
      <c r="H120" s="18">
        <v>3000</v>
      </c>
      <c r="I120" s="19"/>
      <c r="J120" s="20">
        <f t="shared" si="11"/>
        <v>0</v>
      </c>
      <c r="K120" s="20">
        <f t="shared" si="12"/>
        <v>193321.72000000003</v>
      </c>
    </row>
    <row r="121" spans="2:11" ht="18.75" x14ac:dyDescent="0.3">
      <c r="B121" s="49">
        <v>44316</v>
      </c>
      <c r="C121" s="21" t="s">
        <v>80</v>
      </c>
      <c r="D121" s="34"/>
      <c r="E121" s="34"/>
      <c r="F121" s="34"/>
      <c r="G121" s="18"/>
      <c r="H121" s="18">
        <v>3400</v>
      </c>
      <c r="I121" s="19"/>
      <c r="J121" s="20">
        <f t="shared" si="11"/>
        <v>0</v>
      </c>
      <c r="K121" s="20">
        <f t="shared" si="12"/>
        <v>189921.72000000003</v>
      </c>
    </row>
    <row r="122" spans="2:11" ht="18.75" x14ac:dyDescent="0.3">
      <c r="B122" s="49">
        <v>37011</v>
      </c>
      <c r="C122" s="24" t="s">
        <v>229</v>
      </c>
      <c r="D122" s="34">
        <v>9000</v>
      </c>
      <c r="E122" s="34"/>
      <c r="F122" s="34"/>
      <c r="G122" s="18"/>
      <c r="H122" s="18"/>
      <c r="I122" s="19"/>
      <c r="J122" s="20">
        <f t="shared" si="11"/>
        <v>0</v>
      </c>
      <c r="K122" s="20">
        <f t="shared" si="12"/>
        <v>198921.72000000003</v>
      </c>
    </row>
    <row r="123" spans="2:11" ht="18.75" x14ac:dyDescent="0.3">
      <c r="B123" s="49">
        <v>44316</v>
      </c>
      <c r="C123" s="24" t="s">
        <v>88</v>
      </c>
      <c r="D123" s="34"/>
      <c r="E123" s="18"/>
      <c r="F123" s="18"/>
      <c r="G123" s="18"/>
      <c r="H123" s="18">
        <v>9000</v>
      </c>
      <c r="I123" s="19"/>
      <c r="J123" s="20">
        <f t="shared" si="11"/>
        <v>0</v>
      </c>
      <c r="K123" s="20">
        <f t="shared" si="12"/>
        <v>189921.72000000003</v>
      </c>
    </row>
    <row r="124" spans="2:11" ht="18.75" x14ac:dyDescent="0.3">
      <c r="B124" s="49">
        <v>44316</v>
      </c>
      <c r="C124" s="24" t="s">
        <v>89</v>
      </c>
      <c r="D124" s="34"/>
      <c r="E124" s="18"/>
      <c r="F124" s="18"/>
      <c r="G124" s="18"/>
      <c r="H124" s="18">
        <v>29250</v>
      </c>
      <c r="I124" s="19"/>
      <c r="J124" s="20">
        <f t="shared" si="11"/>
        <v>0</v>
      </c>
      <c r="K124" s="20">
        <f t="shared" si="12"/>
        <v>160671.72000000003</v>
      </c>
    </row>
    <row r="125" spans="2:11" ht="18.75" x14ac:dyDescent="0.3">
      <c r="B125" s="49">
        <v>44316</v>
      </c>
      <c r="C125" s="43" t="s">
        <v>84</v>
      </c>
      <c r="D125" s="34"/>
      <c r="E125" s="18"/>
      <c r="F125" s="18"/>
      <c r="G125" s="18"/>
      <c r="H125" s="18">
        <v>5750</v>
      </c>
      <c r="I125" s="19"/>
      <c r="J125" s="20">
        <f t="shared" si="11"/>
        <v>0</v>
      </c>
      <c r="K125" s="20">
        <f t="shared" si="12"/>
        <v>154921.72000000003</v>
      </c>
    </row>
    <row r="126" spans="2:11" ht="19.5" thickBot="1" x14ac:dyDescent="0.35">
      <c r="B126" s="49"/>
      <c r="C126" s="43"/>
      <c r="D126" s="34"/>
      <c r="E126" s="18"/>
      <c r="F126" s="18"/>
      <c r="G126" s="18"/>
      <c r="H126" s="18"/>
      <c r="I126" s="19"/>
      <c r="J126" s="20">
        <f t="shared" si="11"/>
        <v>0</v>
      </c>
      <c r="K126" s="20">
        <f t="shared" si="12"/>
        <v>154921.72000000003</v>
      </c>
    </row>
    <row r="127" spans="2:11" ht="19.5" thickBot="1" x14ac:dyDescent="0.35">
      <c r="B127" s="25"/>
      <c r="C127" s="26" t="s">
        <v>0</v>
      </c>
      <c r="D127" s="27">
        <f>SUM(D98:D126)</f>
        <v>146950</v>
      </c>
      <c r="E127" s="28">
        <f>SUM(E98:E126)</f>
        <v>0</v>
      </c>
      <c r="F127" s="29">
        <f>SUM(D127:E127)</f>
        <v>146950</v>
      </c>
      <c r="G127" s="30">
        <f>SUM(G60:G103)</f>
        <v>0</v>
      </c>
      <c r="H127" s="27">
        <f>SUM(H98:H126)</f>
        <v>156933.87</v>
      </c>
      <c r="I127" s="29">
        <f>SUM(G127:H127)</f>
        <v>156933.87</v>
      </c>
      <c r="J127" s="31"/>
      <c r="K127" s="31"/>
    </row>
    <row r="128" spans="2:11" ht="19.5" thickBot="1" x14ac:dyDescent="0.35"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2:11" ht="19.5" thickBot="1" x14ac:dyDescent="0.35">
      <c r="B129" s="5"/>
      <c r="C129" s="5"/>
      <c r="D129" s="5"/>
      <c r="E129" s="5"/>
      <c r="F129" s="5"/>
      <c r="G129" s="5"/>
      <c r="H129" s="5"/>
      <c r="I129" s="35" t="s">
        <v>7</v>
      </c>
      <c r="J129" s="35" t="s">
        <v>6</v>
      </c>
      <c r="K129" s="36" t="s">
        <v>0</v>
      </c>
    </row>
    <row r="130" spans="2:11" ht="19.5" thickBot="1" x14ac:dyDescent="0.35">
      <c r="B130" s="5"/>
      <c r="C130" s="5"/>
      <c r="D130" s="5"/>
      <c r="E130" s="5"/>
      <c r="F130" s="5"/>
      <c r="G130" s="5"/>
      <c r="H130" s="5"/>
      <c r="I130" s="37"/>
      <c r="J130" s="37">
        <v>154921.72</v>
      </c>
      <c r="K130" s="31">
        <f>SUM(I130:J130)</f>
        <v>154921.72</v>
      </c>
    </row>
    <row r="189" spans="14:14" x14ac:dyDescent="0.25">
      <c r="N189" s="1"/>
    </row>
  </sheetData>
  <printOptions horizontalCentered="1"/>
  <pageMargins left="0" right="0" top="0" bottom="0" header="0.11811023622047245" footer="0.51181102362204722"/>
  <pageSetup paperSize="9" scale="67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pageSetUpPr fitToPage="1"/>
  </sheetPr>
  <dimension ref="A1:O182"/>
  <sheetViews>
    <sheetView zoomScale="80" zoomScaleNormal="80" workbookViewId="0">
      <pane ySplit="4" topLeftCell="A123" activePane="bottomLeft" state="frozen"/>
      <selection pane="bottomLeft" activeCell="D136" sqref="D136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5" width="13" customWidth="1"/>
    <col min="6" max="6" width="13.140625" customWidth="1"/>
    <col min="7" max="11" width="13" customWidth="1"/>
  </cols>
  <sheetData>
    <row r="1" spans="1:11" ht="19.5" thickBot="1" x14ac:dyDescent="0.35">
      <c r="B1" s="39"/>
      <c r="C1" s="6" t="s">
        <v>19</v>
      </c>
      <c r="D1" s="5"/>
      <c r="E1" s="5"/>
      <c r="F1" s="5"/>
      <c r="G1" s="5"/>
      <c r="H1" s="5"/>
      <c r="I1" s="5"/>
      <c r="J1" s="5"/>
      <c r="K1" s="5"/>
    </row>
    <row r="2" spans="1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1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1:11" ht="18.75" x14ac:dyDescent="0.3">
      <c r="B4" s="52">
        <v>44316</v>
      </c>
      <c r="C4" s="12" t="s">
        <v>18</v>
      </c>
      <c r="D4" s="13"/>
      <c r="E4" s="14"/>
      <c r="F4" s="14"/>
      <c r="G4" s="14"/>
      <c r="H4" s="15"/>
      <c r="I4" s="16"/>
      <c r="J4" s="53">
        <v>0</v>
      </c>
      <c r="K4" s="53">
        <v>154921.72</v>
      </c>
    </row>
    <row r="5" spans="1:11" ht="18.75" x14ac:dyDescent="0.3">
      <c r="B5" s="11">
        <v>44317</v>
      </c>
      <c r="C5" s="40" t="s">
        <v>385</v>
      </c>
      <c r="D5" s="13"/>
      <c r="E5" s="14"/>
      <c r="F5" s="14"/>
      <c r="G5" s="14"/>
      <c r="H5" s="15">
        <v>346.7</v>
      </c>
      <c r="I5" s="16"/>
      <c r="J5" s="20">
        <f>+J4+E5-G5</f>
        <v>0</v>
      </c>
      <c r="K5" s="20">
        <f>+K4+D5-H5</f>
        <v>154575.01999999999</v>
      </c>
    </row>
    <row r="6" spans="1:11" ht="18.75" x14ac:dyDescent="0.3">
      <c r="A6" s="4"/>
      <c r="B6" s="11">
        <v>44317</v>
      </c>
      <c r="C6" s="17" t="s">
        <v>397</v>
      </c>
      <c r="D6" s="34"/>
      <c r="E6" s="18"/>
      <c r="F6" s="18"/>
      <c r="G6" s="18"/>
      <c r="H6" s="18">
        <v>500</v>
      </c>
      <c r="I6" s="19"/>
      <c r="J6" s="20">
        <f t="shared" ref="J6:J44" si="0">+J5+E6-G6</f>
        <v>0</v>
      </c>
      <c r="K6" s="20">
        <f t="shared" ref="K6:K44" si="1">+K5+D6-H6</f>
        <v>154075.01999999999</v>
      </c>
    </row>
    <row r="7" spans="1:11" ht="18.75" x14ac:dyDescent="0.3">
      <c r="B7" s="11">
        <v>44317</v>
      </c>
      <c r="C7" s="17" t="s">
        <v>329</v>
      </c>
      <c r="D7" s="34"/>
      <c r="E7" s="18"/>
      <c r="F7" s="18"/>
      <c r="G7" s="18"/>
      <c r="H7" s="18">
        <v>450</v>
      </c>
      <c r="I7" s="19"/>
      <c r="J7" s="20">
        <f t="shared" si="0"/>
        <v>0</v>
      </c>
      <c r="K7" s="20">
        <f t="shared" si="1"/>
        <v>153625.01999999999</v>
      </c>
    </row>
    <row r="8" spans="1:11" ht="18.75" x14ac:dyDescent="0.3">
      <c r="B8" s="22">
        <v>44318</v>
      </c>
      <c r="C8" s="21" t="s">
        <v>42</v>
      </c>
      <c r="D8" s="34"/>
      <c r="E8" s="18"/>
      <c r="F8" s="18"/>
      <c r="G8" s="18"/>
      <c r="H8" s="18">
        <v>100</v>
      </c>
      <c r="I8" s="19"/>
      <c r="J8" s="20">
        <f t="shared" si="0"/>
        <v>0</v>
      </c>
      <c r="K8" s="20">
        <f t="shared" si="1"/>
        <v>153525.01999999999</v>
      </c>
    </row>
    <row r="9" spans="1:11" ht="18.75" x14ac:dyDescent="0.3">
      <c r="B9" s="22">
        <v>44318</v>
      </c>
      <c r="C9" s="41" t="s">
        <v>386</v>
      </c>
      <c r="D9" s="34"/>
      <c r="E9" s="18"/>
      <c r="F9" s="18"/>
      <c r="G9" s="18"/>
      <c r="H9" s="18">
        <v>200</v>
      </c>
      <c r="I9" s="19"/>
      <c r="J9" s="20">
        <f t="shared" si="0"/>
        <v>0</v>
      </c>
      <c r="K9" s="20">
        <f t="shared" si="1"/>
        <v>153325.01999999999</v>
      </c>
    </row>
    <row r="10" spans="1:11" ht="18.75" x14ac:dyDescent="0.3">
      <c r="B10" s="22">
        <v>44318</v>
      </c>
      <c r="C10" s="21" t="s">
        <v>449</v>
      </c>
      <c r="D10" s="34"/>
      <c r="E10" s="18"/>
      <c r="F10" s="18"/>
      <c r="G10" s="18"/>
      <c r="H10" s="18">
        <v>140</v>
      </c>
      <c r="I10" s="19"/>
      <c r="J10" s="20">
        <f t="shared" si="0"/>
        <v>0</v>
      </c>
      <c r="K10" s="20">
        <f t="shared" si="1"/>
        <v>153185.01999999999</v>
      </c>
    </row>
    <row r="11" spans="1:11" ht="18.75" x14ac:dyDescent="0.3">
      <c r="B11" s="22">
        <v>44318</v>
      </c>
      <c r="C11" s="21" t="s">
        <v>387</v>
      </c>
      <c r="D11" s="34"/>
      <c r="E11" s="18"/>
      <c r="F11" s="18"/>
      <c r="G11" s="18"/>
      <c r="H11" s="18">
        <v>200</v>
      </c>
      <c r="I11" s="19"/>
      <c r="J11" s="20">
        <f t="shared" si="0"/>
        <v>0</v>
      </c>
      <c r="K11" s="20">
        <f t="shared" si="1"/>
        <v>152985.01999999999</v>
      </c>
    </row>
    <row r="12" spans="1:11" ht="18.75" x14ac:dyDescent="0.3">
      <c r="B12" s="22">
        <v>44318</v>
      </c>
      <c r="C12" s="17" t="s">
        <v>159</v>
      </c>
      <c r="D12" s="34"/>
      <c r="E12" s="18"/>
      <c r="F12" s="18"/>
      <c r="G12" s="18"/>
      <c r="H12" s="18">
        <v>455.8</v>
      </c>
      <c r="I12" s="19"/>
      <c r="J12" s="20">
        <f t="shared" si="0"/>
        <v>0</v>
      </c>
      <c r="K12" s="20">
        <f t="shared" si="1"/>
        <v>152529.22</v>
      </c>
    </row>
    <row r="13" spans="1:11" ht="18.75" x14ac:dyDescent="0.3">
      <c r="B13" s="22">
        <v>44318</v>
      </c>
      <c r="C13" s="24" t="s">
        <v>388</v>
      </c>
      <c r="D13" s="34"/>
      <c r="E13" s="18"/>
      <c r="F13" s="18"/>
      <c r="G13" s="18"/>
      <c r="H13" s="18">
        <v>250</v>
      </c>
      <c r="I13" s="19"/>
      <c r="J13" s="20">
        <f t="shared" si="0"/>
        <v>0</v>
      </c>
      <c r="K13" s="20">
        <f t="shared" si="1"/>
        <v>152279.22</v>
      </c>
    </row>
    <row r="14" spans="1:11" ht="18.75" x14ac:dyDescent="0.3">
      <c r="B14" s="22">
        <v>44318</v>
      </c>
      <c r="C14" s="21" t="s">
        <v>389</v>
      </c>
      <c r="D14" s="34"/>
      <c r="E14" s="18"/>
      <c r="F14" s="18"/>
      <c r="G14" s="18"/>
      <c r="H14" s="18">
        <v>250</v>
      </c>
      <c r="I14" s="19"/>
      <c r="J14" s="20">
        <f t="shared" si="0"/>
        <v>0</v>
      </c>
      <c r="K14" s="20">
        <f t="shared" si="1"/>
        <v>152029.22</v>
      </c>
    </row>
    <row r="15" spans="1:11" ht="18.75" x14ac:dyDescent="0.3">
      <c r="B15" s="22">
        <v>44318</v>
      </c>
      <c r="C15" s="21" t="s">
        <v>390</v>
      </c>
      <c r="D15" s="34"/>
      <c r="E15" s="18"/>
      <c r="F15" s="18"/>
      <c r="G15" s="18"/>
      <c r="H15" s="18">
        <v>5000</v>
      </c>
      <c r="I15" s="19"/>
      <c r="J15" s="20">
        <f t="shared" si="0"/>
        <v>0</v>
      </c>
      <c r="K15" s="20">
        <f t="shared" si="1"/>
        <v>147029.22</v>
      </c>
    </row>
    <row r="16" spans="1:11" ht="18.75" x14ac:dyDescent="0.3">
      <c r="B16" s="22">
        <v>44318</v>
      </c>
      <c r="C16" s="21" t="s">
        <v>43</v>
      </c>
      <c r="D16" s="34">
        <v>51850</v>
      </c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198879.22</v>
      </c>
    </row>
    <row r="17" spans="2:15" ht="18.75" x14ac:dyDescent="0.3">
      <c r="B17" s="22">
        <v>44319</v>
      </c>
      <c r="C17" s="41" t="s">
        <v>391</v>
      </c>
      <c r="D17" s="34"/>
      <c r="E17" s="18"/>
      <c r="F17" s="18"/>
      <c r="G17" s="18"/>
      <c r="H17" s="18">
        <v>82</v>
      </c>
      <c r="I17" s="19"/>
      <c r="J17" s="20">
        <f t="shared" si="0"/>
        <v>0</v>
      </c>
      <c r="K17" s="20">
        <f t="shared" si="1"/>
        <v>198797.22</v>
      </c>
    </row>
    <row r="18" spans="2:15" ht="18.75" x14ac:dyDescent="0.3">
      <c r="B18" s="22">
        <v>44319</v>
      </c>
      <c r="C18" s="21" t="s">
        <v>392</v>
      </c>
      <c r="D18" s="34"/>
      <c r="E18" s="18"/>
      <c r="F18" s="18"/>
      <c r="G18" s="18"/>
      <c r="H18" s="18">
        <v>300</v>
      </c>
      <c r="I18" s="19"/>
      <c r="J18" s="20">
        <f t="shared" si="0"/>
        <v>0</v>
      </c>
      <c r="K18" s="20">
        <f t="shared" si="1"/>
        <v>198497.22</v>
      </c>
    </row>
    <row r="19" spans="2:15" ht="18.75" x14ac:dyDescent="0.3">
      <c r="B19" s="22">
        <v>44319</v>
      </c>
      <c r="C19" s="21" t="s">
        <v>393</v>
      </c>
      <c r="D19" s="34"/>
      <c r="E19" s="18"/>
      <c r="F19" s="18"/>
      <c r="G19" s="18"/>
      <c r="H19" s="18">
        <v>400</v>
      </c>
      <c r="I19" s="19"/>
      <c r="J19" s="20">
        <f t="shared" si="0"/>
        <v>0</v>
      </c>
      <c r="K19" s="20">
        <f t="shared" si="1"/>
        <v>198097.22</v>
      </c>
    </row>
    <row r="20" spans="2:15" ht="18.75" x14ac:dyDescent="0.3">
      <c r="B20" s="22">
        <v>44319</v>
      </c>
      <c r="C20" s="21" t="s">
        <v>394</v>
      </c>
      <c r="D20" s="34"/>
      <c r="E20" s="18"/>
      <c r="F20" s="18"/>
      <c r="G20" s="18"/>
      <c r="H20" s="18">
        <v>100</v>
      </c>
      <c r="I20" s="19"/>
      <c r="J20" s="20">
        <f t="shared" si="0"/>
        <v>0</v>
      </c>
      <c r="K20" s="20">
        <f t="shared" si="1"/>
        <v>197997.22</v>
      </c>
    </row>
    <row r="21" spans="2:15" ht="18.75" x14ac:dyDescent="0.3">
      <c r="B21" s="22">
        <v>44319</v>
      </c>
      <c r="C21" s="21" t="s">
        <v>395</v>
      </c>
      <c r="D21" s="34"/>
      <c r="E21" s="18"/>
      <c r="F21" s="18"/>
      <c r="G21" s="18"/>
      <c r="H21" s="18">
        <v>150</v>
      </c>
      <c r="I21" s="19"/>
      <c r="J21" s="20">
        <f t="shared" si="0"/>
        <v>0</v>
      </c>
      <c r="K21" s="20">
        <f t="shared" si="1"/>
        <v>197847.22</v>
      </c>
    </row>
    <row r="22" spans="2:15" ht="18.75" x14ac:dyDescent="0.3">
      <c r="B22" s="22">
        <v>44320</v>
      </c>
      <c r="C22" s="21" t="s">
        <v>398</v>
      </c>
      <c r="D22" s="34"/>
      <c r="E22" s="18"/>
      <c r="F22" s="18"/>
      <c r="G22" s="18"/>
      <c r="H22" s="18">
        <v>169</v>
      </c>
      <c r="I22" s="19"/>
      <c r="J22" s="20">
        <f t="shared" si="0"/>
        <v>0</v>
      </c>
      <c r="K22" s="20">
        <f t="shared" si="1"/>
        <v>197678.22</v>
      </c>
      <c r="M22">
        <v>21100</v>
      </c>
    </row>
    <row r="23" spans="2:15" ht="18.75" x14ac:dyDescent="0.3">
      <c r="B23" s="22">
        <v>44320</v>
      </c>
      <c r="C23" s="21" t="s">
        <v>399</v>
      </c>
      <c r="D23" s="34"/>
      <c r="E23" s="18"/>
      <c r="F23" s="18"/>
      <c r="G23" s="18"/>
      <c r="H23" s="18">
        <v>704.38</v>
      </c>
      <c r="I23" s="19"/>
      <c r="J23" s="20">
        <f t="shared" si="0"/>
        <v>0</v>
      </c>
      <c r="K23" s="20">
        <f t="shared" si="1"/>
        <v>196973.84</v>
      </c>
    </row>
    <row r="24" spans="2:15" ht="18.75" x14ac:dyDescent="0.3">
      <c r="B24" s="22">
        <v>44321</v>
      </c>
      <c r="C24" s="21" t="s">
        <v>400</v>
      </c>
      <c r="D24" s="34"/>
      <c r="E24" s="34"/>
      <c r="F24" s="18"/>
      <c r="G24" s="18"/>
      <c r="H24" s="18">
        <v>71.5</v>
      </c>
      <c r="I24" s="19"/>
      <c r="J24" s="20">
        <f t="shared" si="0"/>
        <v>0</v>
      </c>
      <c r="K24" s="20">
        <f t="shared" si="1"/>
        <v>196902.34</v>
      </c>
    </row>
    <row r="25" spans="2:15" ht="18.75" x14ac:dyDescent="0.3">
      <c r="B25" s="22">
        <v>44321</v>
      </c>
      <c r="C25" s="21" t="s">
        <v>401</v>
      </c>
      <c r="D25" s="34"/>
      <c r="E25" s="34"/>
      <c r="F25" s="18"/>
      <c r="G25" s="18"/>
      <c r="H25" s="18">
        <v>200</v>
      </c>
      <c r="I25" s="19"/>
      <c r="J25" s="20">
        <f t="shared" si="0"/>
        <v>0</v>
      </c>
      <c r="K25" s="20">
        <f t="shared" si="1"/>
        <v>196702.34</v>
      </c>
    </row>
    <row r="26" spans="2:15" ht="18.75" x14ac:dyDescent="0.3">
      <c r="B26" s="42">
        <v>44321</v>
      </c>
      <c r="C26" s="21" t="s">
        <v>401</v>
      </c>
      <c r="D26" s="34"/>
      <c r="E26" s="34"/>
      <c r="F26" s="18"/>
      <c r="G26" s="18"/>
      <c r="H26" s="18">
        <v>200</v>
      </c>
      <c r="I26" s="19"/>
      <c r="J26" s="20">
        <f t="shared" si="0"/>
        <v>0</v>
      </c>
      <c r="K26" s="20">
        <f t="shared" si="1"/>
        <v>196502.34</v>
      </c>
      <c r="N26">
        <v>5600</v>
      </c>
      <c r="O26" t="s">
        <v>379</v>
      </c>
    </row>
    <row r="27" spans="2:15" ht="18.75" x14ac:dyDescent="0.3">
      <c r="B27" s="46">
        <v>44322</v>
      </c>
      <c r="C27" s="21" t="s">
        <v>402</v>
      </c>
      <c r="D27" s="34"/>
      <c r="E27" s="34"/>
      <c r="F27" s="34"/>
      <c r="G27" s="18"/>
      <c r="H27" s="18">
        <v>104.5</v>
      </c>
      <c r="I27" s="19"/>
      <c r="J27" s="20">
        <f t="shared" si="0"/>
        <v>0</v>
      </c>
      <c r="K27" s="20">
        <f t="shared" si="1"/>
        <v>196397.84</v>
      </c>
    </row>
    <row r="28" spans="2:15" ht="18.75" x14ac:dyDescent="0.3">
      <c r="B28" s="44">
        <v>44322</v>
      </c>
      <c r="C28" s="33" t="s">
        <v>403</v>
      </c>
      <c r="D28" s="34"/>
      <c r="E28" s="34"/>
      <c r="F28" s="34"/>
      <c r="G28" s="34"/>
      <c r="H28" s="18">
        <v>51</v>
      </c>
      <c r="I28" s="19"/>
      <c r="J28" s="20">
        <f t="shared" si="0"/>
        <v>0</v>
      </c>
      <c r="K28" s="20">
        <f t="shared" si="1"/>
        <v>196346.84</v>
      </c>
    </row>
    <row r="29" spans="2:15" ht="18.75" x14ac:dyDescent="0.3">
      <c r="B29" s="42">
        <v>44322</v>
      </c>
      <c r="C29" s="33" t="s">
        <v>404</v>
      </c>
      <c r="D29" s="34"/>
      <c r="E29" s="18"/>
      <c r="F29" s="18"/>
      <c r="G29" s="18"/>
      <c r="H29" s="18">
        <v>270</v>
      </c>
      <c r="I29" s="19"/>
      <c r="J29" s="20">
        <f t="shared" si="0"/>
        <v>0</v>
      </c>
      <c r="K29" s="20">
        <f t="shared" si="1"/>
        <v>196076.84</v>
      </c>
    </row>
    <row r="30" spans="2:15" ht="18.75" x14ac:dyDescent="0.3">
      <c r="B30" s="42">
        <v>44323</v>
      </c>
      <c r="C30" s="43" t="s">
        <v>405</v>
      </c>
      <c r="D30" s="34"/>
      <c r="E30" s="18"/>
      <c r="F30" s="18"/>
      <c r="G30" s="18"/>
      <c r="H30" s="18">
        <v>4450</v>
      </c>
      <c r="I30" s="19"/>
      <c r="J30" s="20">
        <f t="shared" si="0"/>
        <v>0</v>
      </c>
      <c r="K30" s="20">
        <f t="shared" si="1"/>
        <v>191626.84</v>
      </c>
    </row>
    <row r="31" spans="2:15" ht="18.75" x14ac:dyDescent="0.3">
      <c r="B31" s="42">
        <v>43958</v>
      </c>
      <c r="C31" s="33" t="s">
        <v>106</v>
      </c>
      <c r="D31" s="34"/>
      <c r="E31" s="18"/>
      <c r="F31" s="18"/>
      <c r="G31" s="18"/>
      <c r="H31" s="18">
        <v>800</v>
      </c>
      <c r="I31" s="19"/>
      <c r="J31" s="20">
        <f t="shared" si="0"/>
        <v>0</v>
      </c>
      <c r="K31" s="20">
        <f t="shared" si="1"/>
        <v>190826.84</v>
      </c>
    </row>
    <row r="32" spans="2:15" ht="18.75" x14ac:dyDescent="0.3">
      <c r="B32" s="42">
        <v>44323</v>
      </c>
      <c r="C32" s="33" t="s">
        <v>406</v>
      </c>
      <c r="D32" s="34"/>
      <c r="E32" s="18"/>
      <c r="F32" s="18"/>
      <c r="G32" s="18"/>
      <c r="H32" s="18">
        <v>3500</v>
      </c>
      <c r="I32" s="19"/>
      <c r="J32" s="20">
        <f t="shared" si="0"/>
        <v>0</v>
      </c>
      <c r="K32" s="20">
        <f t="shared" si="1"/>
        <v>187326.84</v>
      </c>
    </row>
    <row r="33" spans="1:11" ht="18.75" x14ac:dyDescent="0.3">
      <c r="A33" s="4"/>
      <c r="B33" s="42">
        <v>44323</v>
      </c>
      <c r="C33" s="33" t="s">
        <v>407</v>
      </c>
      <c r="D33" s="34"/>
      <c r="E33" s="18"/>
      <c r="F33" s="18"/>
      <c r="G33" s="18"/>
      <c r="H33" s="18">
        <v>250</v>
      </c>
      <c r="I33" s="19"/>
      <c r="J33" s="20">
        <f t="shared" si="0"/>
        <v>0</v>
      </c>
      <c r="K33" s="20">
        <f t="shared" si="1"/>
        <v>187076.84</v>
      </c>
    </row>
    <row r="34" spans="1:11" ht="18.75" x14ac:dyDescent="0.3">
      <c r="B34" s="49">
        <v>44323</v>
      </c>
      <c r="C34" s="51" t="s">
        <v>408</v>
      </c>
      <c r="D34" s="34"/>
      <c r="E34" s="18"/>
      <c r="F34" s="18"/>
      <c r="G34" s="18"/>
      <c r="H34" s="18">
        <v>300</v>
      </c>
      <c r="I34" s="19"/>
      <c r="J34" s="20">
        <f t="shared" si="0"/>
        <v>0</v>
      </c>
      <c r="K34" s="20">
        <f t="shared" si="1"/>
        <v>186776.84</v>
      </c>
    </row>
    <row r="35" spans="1:11" ht="18.75" x14ac:dyDescent="0.3">
      <c r="B35" s="42">
        <v>44323</v>
      </c>
      <c r="C35" s="33" t="s">
        <v>409</v>
      </c>
      <c r="D35" s="34"/>
      <c r="E35" s="18"/>
      <c r="F35" s="18"/>
      <c r="G35" s="18"/>
      <c r="H35" s="18">
        <v>200</v>
      </c>
      <c r="I35" s="19"/>
      <c r="J35" s="20">
        <f t="shared" si="0"/>
        <v>0</v>
      </c>
      <c r="K35" s="20">
        <f t="shared" si="1"/>
        <v>186576.84</v>
      </c>
    </row>
    <row r="36" spans="1:11" ht="18.75" x14ac:dyDescent="0.3">
      <c r="B36" s="57">
        <v>44323</v>
      </c>
      <c r="C36" s="43" t="s">
        <v>410</v>
      </c>
      <c r="D36" s="34"/>
      <c r="E36" s="18"/>
      <c r="F36" s="18"/>
      <c r="G36" s="18"/>
      <c r="H36" s="18">
        <v>790</v>
      </c>
      <c r="I36" s="19"/>
      <c r="J36" s="20">
        <f t="shared" si="0"/>
        <v>0</v>
      </c>
      <c r="K36" s="20">
        <f t="shared" si="1"/>
        <v>185786.84</v>
      </c>
    </row>
    <row r="37" spans="1:11" ht="18.75" x14ac:dyDescent="0.3">
      <c r="B37" s="42">
        <v>44323</v>
      </c>
      <c r="C37" s="56" t="s">
        <v>411</v>
      </c>
      <c r="D37" s="34"/>
      <c r="E37" s="18"/>
      <c r="F37" s="18"/>
      <c r="G37" s="18"/>
      <c r="H37" s="18">
        <v>126</v>
      </c>
      <c r="I37" s="19"/>
      <c r="J37" s="20">
        <f t="shared" si="0"/>
        <v>0</v>
      </c>
      <c r="K37" s="20">
        <f t="shared" si="1"/>
        <v>185660.84</v>
      </c>
    </row>
    <row r="38" spans="1:11" ht="18.75" x14ac:dyDescent="0.3">
      <c r="B38" s="47">
        <v>44324</v>
      </c>
      <c r="C38" s="33" t="s">
        <v>329</v>
      </c>
      <c r="D38" s="34"/>
      <c r="E38" s="18"/>
      <c r="F38" s="18"/>
      <c r="G38" s="18"/>
      <c r="H38" s="18">
        <v>350</v>
      </c>
      <c r="I38" s="19"/>
      <c r="J38" s="20">
        <f t="shared" si="0"/>
        <v>0</v>
      </c>
      <c r="K38" s="20">
        <f t="shared" si="1"/>
        <v>185310.84</v>
      </c>
    </row>
    <row r="39" spans="1:11" ht="18.75" x14ac:dyDescent="0.3">
      <c r="B39" s="42">
        <v>44325</v>
      </c>
      <c r="C39" s="33" t="s">
        <v>412</v>
      </c>
      <c r="D39" s="34"/>
      <c r="E39" s="18"/>
      <c r="F39" s="18"/>
      <c r="G39" s="18"/>
      <c r="H39" s="18">
        <v>100</v>
      </c>
      <c r="I39" s="19"/>
      <c r="J39" s="20">
        <f t="shared" si="0"/>
        <v>0</v>
      </c>
      <c r="K39" s="20">
        <f t="shared" si="1"/>
        <v>185210.84</v>
      </c>
    </row>
    <row r="40" spans="1:11" ht="18.75" x14ac:dyDescent="0.3">
      <c r="B40" s="42">
        <v>44325</v>
      </c>
      <c r="C40" s="32" t="s">
        <v>413</v>
      </c>
      <c r="D40" s="34"/>
      <c r="E40" s="18"/>
      <c r="F40" s="18"/>
      <c r="G40" s="18"/>
      <c r="H40" s="18">
        <v>250</v>
      </c>
      <c r="I40" s="19"/>
      <c r="J40" s="20">
        <f t="shared" si="0"/>
        <v>0</v>
      </c>
      <c r="K40" s="20">
        <f t="shared" si="1"/>
        <v>184960.84</v>
      </c>
    </row>
    <row r="41" spans="1:11" ht="18.75" x14ac:dyDescent="0.3">
      <c r="B41" s="42">
        <v>44325</v>
      </c>
      <c r="C41" s="33" t="s">
        <v>407</v>
      </c>
      <c r="D41" s="34"/>
      <c r="E41" s="18"/>
      <c r="F41" s="18"/>
      <c r="G41" s="18"/>
      <c r="H41" s="18">
        <v>250</v>
      </c>
      <c r="I41" s="19"/>
      <c r="J41" s="20">
        <f t="shared" si="0"/>
        <v>0</v>
      </c>
      <c r="K41" s="20">
        <f t="shared" si="1"/>
        <v>184710.84</v>
      </c>
    </row>
    <row r="42" spans="1:11" ht="18.75" x14ac:dyDescent="0.3">
      <c r="B42" s="42">
        <v>44325</v>
      </c>
      <c r="C42" s="33" t="s">
        <v>414</v>
      </c>
      <c r="D42" s="34"/>
      <c r="E42" s="18"/>
      <c r="F42" s="18"/>
      <c r="G42" s="18"/>
      <c r="H42" s="18">
        <v>300</v>
      </c>
      <c r="I42" s="19"/>
      <c r="J42" s="20">
        <f t="shared" si="0"/>
        <v>0</v>
      </c>
      <c r="K42" s="20">
        <f t="shared" si="1"/>
        <v>184410.84</v>
      </c>
    </row>
    <row r="43" spans="1:11" ht="18.75" x14ac:dyDescent="0.3">
      <c r="B43" s="42">
        <v>44325</v>
      </c>
      <c r="C43" s="33" t="s">
        <v>60</v>
      </c>
      <c r="D43" s="34">
        <v>21100</v>
      </c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205510.84</v>
      </c>
    </row>
    <row r="44" spans="1:11" ht="18.75" x14ac:dyDescent="0.3">
      <c r="B44" s="42">
        <v>44326</v>
      </c>
      <c r="C44" s="33" t="s">
        <v>415</v>
      </c>
      <c r="D44" s="34"/>
      <c r="E44" s="18"/>
      <c r="F44" s="18"/>
      <c r="G44" s="18"/>
      <c r="H44" s="18">
        <v>300</v>
      </c>
      <c r="I44" s="19"/>
      <c r="J44" s="20">
        <f t="shared" si="0"/>
        <v>0</v>
      </c>
      <c r="K44" s="20">
        <f t="shared" si="1"/>
        <v>205210.84</v>
      </c>
    </row>
    <row r="45" spans="1:11" ht="18.75" x14ac:dyDescent="0.3">
      <c r="B45" s="42">
        <v>44326</v>
      </c>
      <c r="C45" s="33" t="s">
        <v>416</v>
      </c>
      <c r="D45" s="34"/>
      <c r="E45" s="18"/>
      <c r="F45" s="18"/>
      <c r="G45" s="18"/>
      <c r="H45" s="18">
        <v>42</v>
      </c>
      <c r="I45" s="19"/>
      <c r="J45" s="20">
        <f t="shared" ref="J45:J50" si="2">+J44+E45-G45</f>
        <v>0</v>
      </c>
      <c r="K45" s="20">
        <f t="shared" ref="K45:K50" si="3">+K44+D45-H45</f>
        <v>205168.84</v>
      </c>
    </row>
    <row r="46" spans="1:11" ht="18.75" x14ac:dyDescent="0.3">
      <c r="B46" s="42">
        <v>44326</v>
      </c>
      <c r="C46" s="33" t="s">
        <v>417</v>
      </c>
      <c r="D46" s="34"/>
      <c r="E46" s="18"/>
      <c r="F46" s="18"/>
      <c r="G46" s="18"/>
      <c r="H46" s="18">
        <v>300</v>
      </c>
      <c r="I46" s="19"/>
      <c r="J46" s="20">
        <f t="shared" si="2"/>
        <v>0</v>
      </c>
      <c r="K46" s="20">
        <f t="shared" si="3"/>
        <v>204868.84</v>
      </c>
    </row>
    <row r="47" spans="1:11" ht="18.75" x14ac:dyDescent="0.3">
      <c r="B47" s="49">
        <v>44326</v>
      </c>
      <c r="C47" s="43" t="s">
        <v>448</v>
      </c>
      <c r="D47" s="34"/>
      <c r="E47" s="18"/>
      <c r="F47" s="18"/>
      <c r="G47" s="18"/>
      <c r="H47" s="18">
        <v>3000</v>
      </c>
      <c r="I47" s="19"/>
      <c r="J47" s="20">
        <f t="shared" si="2"/>
        <v>0</v>
      </c>
      <c r="K47" s="20">
        <f t="shared" si="3"/>
        <v>201868.84</v>
      </c>
    </row>
    <row r="48" spans="1:11" ht="18.75" x14ac:dyDescent="0.3">
      <c r="B48" s="42">
        <v>44327</v>
      </c>
      <c r="C48" s="54" t="s">
        <v>396</v>
      </c>
      <c r="D48" s="34"/>
      <c r="E48" s="18"/>
      <c r="F48" s="18"/>
      <c r="G48" s="18"/>
      <c r="H48" s="18">
        <v>1785</v>
      </c>
      <c r="I48" s="19"/>
      <c r="J48" s="20">
        <f t="shared" si="2"/>
        <v>0</v>
      </c>
      <c r="K48" s="20">
        <f t="shared" si="3"/>
        <v>200083.84</v>
      </c>
    </row>
    <row r="49" spans="2:11" ht="18.75" x14ac:dyDescent="0.3">
      <c r="B49" s="42">
        <v>44327</v>
      </c>
      <c r="C49" s="54" t="s">
        <v>159</v>
      </c>
      <c r="D49" s="34"/>
      <c r="E49" s="18"/>
      <c r="F49" s="18"/>
      <c r="G49" s="18"/>
      <c r="H49" s="18">
        <v>495</v>
      </c>
      <c r="I49" s="19"/>
      <c r="J49" s="20">
        <f t="shared" si="2"/>
        <v>0</v>
      </c>
      <c r="K49" s="20">
        <f t="shared" si="3"/>
        <v>199588.84</v>
      </c>
    </row>
    <row r="50" spans="2:11" ht="19.5" thickBot="1" x14ac:dyDescent="0.35">
      <c r="B50" s="42">
        <v>44328</v>
      </c>
      <c r="C50" s="33" t="s">
        <v>418</v>
      </c>
      <c r="D50" s="34"/>
      <c r="E50" s="18"/>
      <c r="F50" s="18"/>
      <c r="G50" s="18"/>
      <c r="H50" s="18">
        <v>227.9</v>
      </c>
      <c r="I50" s="19"/>
      <c r="J50" s="20">
        <f t="shared" si="2"/>
        <v>0</v>
      </c>
      <c r="K50" s="20">
        <f t="shared" si="3"/>
        <v>199360.94</v>
      </c>
    </row>
    <row r="51" spans="2:11" ht="19.5" thickBot="1" x14ac:dyDescent="0.35">
      <c r="B51" s="25"/>
      <c r="C51" s="26" t="s">
        <v>0</v>
      </c>
      <c r="D51" s="27">
        <f>SUM(D4:D50)</f>
        <v>72950</v>
      </c>
      <c r="E51" s="28">
        <f>SUM(E4:E50)</f>
        <v>0</v>
      </c>
      <c r="F51" s="29">
        <f>SUM(D51:E51)</f>
        <v>72950</v>
      </c>
      <c r="G51" s="30">
        <f>SUM(G4:G50)</f>
        <v>0</v>
      </c>
      <c r="H51" s="27">
        <f>SUM(H4:H50)</f>
        <v>28510.78</v>
      </c>
      <c r="I51" s="29">
        <f>SUM(G51:H51)</f>
        <v>28510.78</v>
      </c>
      <c r="J51" s="20"/>
      <c r="K51" s="20"/>
    </row>
    <row r="52" spans="2:11" ht="18.75" x14ac:dyDescent="0.3">
      <c r="B52" s="7" t="s">
        <v>1</v>
      </c>
      <c r="C52" s="7" t="s">
        <v>2</v>
      </c>
      <c r="D52" s="7" t="s">
        <v>3</v>
      </c>
      <c r="E52" s="7" t="s">
        <v>3</v>
      </c>
      <c r="F52" s="7" t="s">
        <v>8</v>
      </c>
      <c r="G52" s="7" t="s">
        <v>9</v>
      </c>
      <c r="H52" s="8" t="s">
        <v>9</v>
      </c>
      <c r="I52" s="8" t="s">
        <v>8</v>
      </c>
      <c r="J52" s="7" t="s">
        <v>7</v>
      </c>
      <c r="K52" s="8" t="s">
        <v>6</v>
      </c>
    </row>
    <row r="53" spans="2:11" ht="19.5" thickBot="1" x14ac:dyDescent="0.35">
      <c r="B53" s="9"/>
      <c r="C53" s="9"/>
      <c r="D53" s="9" t="s">
        <v>5</v>
      </c>
      <c r="E53" s="9" t="s">
        <v>7</v>
      </c>
      <c r="F53" s="9" t="s">
        <v>3</v>
      </c>
      <c r="G53" s="9" t="s">
        <v>7</v>
      </c>
      <c r="H53" s="10" t="s">
        <v>5</v>
      </c>
      <c r="I53" s="10" t="s">
        <v>4</v>
      </c>
      <c r="J53" s="9"/>
      <c r="K53" s="10"/>
    </row>
    <row r="54" spans="2:11" ht="19.5" thickBot="1" x14ac:dyDescent="0.35">
      <c r="B54" s="25"/>
      <c r="C54" s="26"/>
      <c r="D54" s="27">
        <v>72950</v>
      </c>
      <c r="E54" s="28">
        <v>0</v>
      </c>
      <c r="F54" s="29">
        <f>SUM(D54:E54)</f>
        <v>72950</v>
      </c>
      <c r="G54" s="30">
        <v>0</v>
      </c>
      <c r="H54" s="27">
        <v>28510.38</v>
      </c>
      <c r="I54" s="29">
        <f>SUM(G54:H54)</f>
        <v>28510.38</v>
      </c>
      <c r="J54" s="53">
        <v>0</v>
      </c>
      <c r="K54" s="53">
        <v>0</v>
      </c>
    </row>
    <row r="55" spans="2:11" ht="18.75" x14ac:dyDescent="0.3">
      <c r="B55" s="42">
        <v>44328</v>
      </c>
      <c r="C55" s="33" t="s">
        <v>419</v>
      </c>
      <c r="D55" s="34"/>
      <c r="E55" s="18"/>
      <c r="F55" s="18"/>
      <c r="G55" s="18"/>
      <c r="H55" s="18">
        <v>2150</v>
      </c>
      <c r="I55" s="19"/>
      <c r="J55" s="20">
        <f>+J50+E55-G55</f>
        <v>0</v>
      </c>
      <c r="K55" s="20">
        <f>+K50+D55-H55</f>
        <v>197210.94</v>
      </c>
    </row>
    <row r="56" spans="2:11" ht="18.75" x14ac:dyDescent="0.3">
      <c r="B56" s="42">
        <v>44328</v>
      </c>
      <c r="C56" s="17" t="s">
        <v>420</v>
      </c>
      <c r="D56" s="34"/>
      <c r="E56" s="18"/>
      <c r="F56" s="18"/>
      <c r="G56" s="18"/>
      <c r="H56" s="18">
        <v>600</v>
      </c>
      <c r="I56" s="19"/>
      <c r="J56" s="20">
        <f>+J55+E56-G56</f>
        <v>0</v>
      </c>
      <c r="K56" s="20">
        <f>+K55+D56-H56</f>
        <v>196610.94</v>
      </c>
    </row>
    <row r="57" spans="2:11" ht="18.75" x14ac:dyDescent="0.3">
      <c r="B57" s="42">
        <v>44328</v>
      </c>
      <c r="C57" s="33" t="s">
        <v>428</v>
      </c>
      <c r="D57" s="34"/>
      <c r="E57" s="18"/>
      <c r="F57" s="18"/>
      <c r="G57" s="18"/>
      <c r="H57" s="18">
        <v>125</v>
      </c>
      <c r="I57" s="19"/>
      <c r="J57" s="20">
        <f t="shared" ref="J57:J109" si="4">+J56+E57-G57</f>
        <v>0</v>
      </c>
      <c r="K57" s="20">
        <f t="shared" ref="K57:K109" si="5">+K56+D57-H57</f>
        <v>196485.94</v>
      </c>
    </row>
    <row r="58" spans="2:11" ht="18.75" x14ac:dyDescent="0.3">
      <c r="B58" s="42">
        <v>44328</v>
      </c>
      <c r="C58" s="33" t="s">
        <v>421</v>
      </c>
      <c r="D58" s="34"/>
      <c r="E58" s="18"/>
      <c r="F58" s="18"/>
      <c r="G58" s="18"/>
      <c r="H58" s="18">
        <v>200</v>
      </c>
      <c r="I58" s="19"/>
      <c r="J58" s="20">
        <f t="shared" si="4"/>
        <v>0</v>
      </c>
      <c r="K58" s="20">
        <f t="shared" si="5"/>
        <v>196285.94</v>
      </c>
    </row>
    <row r="59" spans="2:11" ht="18.75" x14ac:dyDescent="0.3">
      <c r="B59" s="42">
        <v>44330</v>
      </c>
      <c r="C59" s="33" t="s">
        <v>421</v>
      </c>
      <c r="D59" s="34"/>
      <c r="E59" s="18"/>
      <c r="F59" s="18"/>
      <c r="G59" s="18"/>
      <c r="H59" s="18">
        <v>300</v>
      </c>
      <c r="I59" s="19"/>
      <c r="J59" s="20">
        <f t="shared" si="4"/>
        <v>0</v>
      </c>
      <c r="K59" s="20">
        <f t="shared" si="5"/>
        <v>195985.94</v>
      </c>
    </row>
    <row r="60" spans="2:11" ht="18.75" x14ac:dyDescent="0.3">
      <c r="B60" s="42">
        <v>44331</v>
      </c>
      <c r="C60" s="33" t="s">
        <v>329</v>
      </c>
      <c r="D60" s="34"/>
      <c r="E60" s="18"/>
      <c r="F60" s="18"/>
      <c r="G60" s="18"/>
      <c r="H60" s="18">
        <v>400</v>
      </c>
      <c r="I60" s="19"/>
      <c r="J60" s="20">
        <f t="shared" si="4"/>
        <v>0</v>
      </c>
      <c r="K60" s="20">
        <f t="shared" si="5"/>
        <v>195585.94</v>
      </c>
    </row>
    <row r="61" spans="2:11" ht="18.75" x14ac:dyDescent="0.3">
      <c r="B61" s="42">
        <v>44331</v>
      </c>
      <c r="C61" s="43" t="s">
        <v>422</v>
      </c>
      <c r="D61" s="34"/>
      <c r="E61" s="34"/>
      <c r="F61" s="34"/>
      <c r="G61" s="34"/>
      <c r="H61" s="18">
        <v>300</v>
      </c>
      <c r="I61" s="19"/>
      <c r="J61" s="20">
        <f t="shared" si="4"/>
        <v>0</v>
      </c>
      <c r="K61" s="20">
        <f t="shared" si="5"/>
        <v>195285.94</v>
      </c>
    </row>
    <row r="62" spans="2:11" ht="18.75" x14ac:dyDescent="0.3">
      <c r="B62" s="42">
        <v>44331</v>
      </c>
      <c r="C62" s="33" t="s">
        <v>170</v>
      </c>
      <c r="D62" s="34"/>
      <c r="E62" s="18"/>
      <c r="F62" s="18"/>
      <c r="G62" s="18"/>
      <c r="H62" s="18">
        <v>250</v>
      </c>
      <c r="I62" s="19"/>
      <c r="J62" s="20">
        <f t="shared" si="4"/>
        <v>0</v>
      </c>
      <c r="K62" s="20">
        <f t="shared" si="5"/>
        <v>195035.94</v>
      </c>
    </row>
    <row r="63" spans="2:11" ht="18.75" x14ac:dyDescent="0.3">
      <c r="B63" s="42">
        <v>44331</v>
      </c>
      <c r="C63" s="33" t="s">
        <v>171</v>
      </c>
      <c r="D63" s="34"/>
      <c r="E63" s="18"/>
      <c r="F63" s="18"/>
      <c r="G63" s="18"/>
      <c r="H63" s="18">
        <v>300</v>
      </c>
      <c r="I63" s="19"/>
      <c r="J63" s="20">
        <f t="shared" si="4"/>
        <v>0</v>
      </c>
      <c r="K63" s="20">
        <f t="shared" si="5"/>
        <v>194735.94</v>
      </c>
    </row>
    <row r="64" spans="2:11" ht="18.75" x14ac:dyDescent="0.3">
      <c r="B64" s="42">
        <v>44331</v>
      </c>
      <c r="C64" s="33" t="s">
        <v>172</v>
      </c>
      <c r="D64" s="34"/>
      <c r="E64" s="18"/>
      <c r="F64" s="18"/>
      <c r="G64" s="18"/>
      <c r="H64" s="18">
        <v>650</v>
      </c>
      <c r="I64" s="19"/>
      <c r="J64" s="20">
        <f t="shared" si="4"/>
        <v>0</v>
      </c>
      <c r="K64" s="20">
        <f t="shared" si="5"/>
        <v>194085.94</v>
      </c>
    </row>
    <row r="65" spans="1:13" ht="18.75" x14ac:dyDescent="0.3">
      <c r="B65" s="42">
        <v>44331</v>
      </c>
      <c r="C65" s="43" t="s">
        <v>230</v>
      </c>
      <c r="D65" s="34"/>
      <c r="E65" s="34"/>
      <c r="F65" s="34"/>
      <c r="G65" s="34"/>
      <c r="H65" s="18">
        <v>3000</v>
      </c>
      <c r="I65" s="19"/>
      <c r="J65" s="20">
        <f t="shared" si="4"/>
        <v>0</v>
      </c>
      <c r="K65" s="20">
        <f t="shared" si="5"/>
        <v>191085.94</v>
      </c>
      <c r="M65" s="1"/>
    </row>
    <row r="66" spans="1:13" ht="18.75" x14ac:dyDescent="0.3">
      <c r="B66" s="47">
        <v>44331</v>
      </c>
      <c r="C66" s="21" t="s">
        <v>231</v>
      </c>
      <c r="D66" s="34"/>
      <c r="E66" s="34"/>
      <c r="F66" s="34"/>
      <c r="G66" s="34"/>
      <c r="H66" s="18">
        <v>3400</v>
      </c>
      <c r="I66" s="19"/>
      <c r="J66" s="20">
        <f t="shared" si="4"/>
        <v>0</v>
      </c>
      <c r="K66" s="20">
        <f t="shared" si="5"/>
        <v>187685.94</v>
      </c>
    </row>
    <row r="67" spans="1:13" ht="18.75" x14ac:dyDescent="0.3">
      <c r="B67" s="47">
        <v>44331</v>
      </c>
      <c r="C67" s="54" t="s">
        <v>81</v>
      </c>
      <c r="D67" s="34"/>
      <c r="E67" s="34"/>
      <c r="F67" s="34"/>
      <c r="G67" s="34"/>
      <c r="H67" s="18">
        <v>5000</v>
      </c>
      <c r="I67" s="19"/>
      <c r="J67" s="20">
        <f t="shared" si="4"/>
        <v>0</v>
      </c>
      <c r="K67" s="20">
        <f t="shared" si="5"/>
        <v>182685.94</v>
      </c>
    </row>
    <row r="68" spans="1:13" ht="18.75" x14ac:dyDescent="0.3">
      <c r="B68" s="22">
        <v>44331</v>
      </c>
      <c r="C68" s="43" t="s">
        <v>448</v>
      </c>
      <c r="D68" s="18"/>
      <c r="E68" s="18"/>
      <c r="F68" s="18"/>
      <c r="G68" s="18"/>
      <c r="H68" s="18">
        <v>6000</v>
      </c>
      <c r="I68" s="19"/>
      <c r="J68" s="20">
        <f t="shared" si="4"/>
        <v>0</v>
      </c>
      <c r="K68" s="20">
        <f t="shared" si="5"/>
        <v>176685.94</v>
      </c>
      <c r="M68" s="1">
        <v>4800</v>
      </c>
    </row>
    <row r="69" spans="1:13" ht="18.75" x14ac:dyDescent="0.3">
      <c r="B69" s="42">
        <v>44331</v>
      </c>
      <c r="C69" s="43" t="s">
        <v>83</v>
      </c>
      <c r="D69" s="18"/>
      <c r="E69" s="18"/>
      <c r="F69" s="18"/>
      <c r="G69" s="18"/>
      <c r="H69" s="18">
        <v>29250</v>
      </c>
      <c r="I69" s="19"/>
      <c r="J69" s="20">
        <f t="shared" si="4"/>
        <v>0</v>
      </c>
      <c r="K69" s="20">
        <f t="shared" si="5"/>
        <v>147435.94</v>
      </c>
    </row>
    <row r="70" spans="1:13" ht="18.75" x14ac:dyDescent="0.3">
      <c r="A70" s="4"/>
      <c r="B70" s="44">
        <v>44331</v>
      </c>
      <c r="C70" s="43" t="s">
        <v>84</v>
      </c>
      <c r="D70" s="34"/>
      <c r="E70" s="18"/>
      <c r="F70" s="18"/>
      <c r="G70" s="18"/>
      <c r="H70" s="18">
        <v>5100</v>
      </c>
      <c r="I70" s="19"/>
      <c r="J70" s="20">
        <f t="shared" si="4"/>
        <v>0</v>
      </c>
      <c r="K70" s="20">
        <f t="shared" si="5"/>
        <v>142335.94</v>
      </c>
      <c r="L70">
        <v>13850</v>
      </c>
    </row>
    <row r="71" spans="1:13" ht="18.75" x14ac:dyDescent="0.3">
      <c r="B71" s="42">
        <v>44332</v>
      </c>
      <c r="C71" s="43" t="s">
        <v>423</v>
      </c>
      <c r="D71" s="18"/>
      <c r="E71" s="18"/>
      <c r="F71" s="18"/>
      <c r="G71" s="18"/>
      <c r="H71" s="18">
        <v>100</v>
      </c>
      <c r="I71" s="19"/>
      <c r="J71" s="20">
        <f t="shared" si="4"/>
        <v>0</v>
      </c>
      <c r="K71" s="20">
        <f t="shared" si="5"/>
        <v>142235.94</v>
      </c>
    </row>
    <row r="72" spans="1:13" ht="18.75" x14ac:dyDescent="0.3">
      <c r="B72" s="42">
        <v>44332</v>
      </c>
      <c r="C72" s="43" t="s">
        <v>181</v>
      </c>
      <c r="D72" s="18"/>
      <c r="E72" s="18"/>
      <c r="F72" s="18"/>
      <c r="G72" s="18"/>
      <c r="H72" s="18">
        <v>200</v>
      </c>
      <c r="I72" s="19"/>
      <c r="J72" s="20">
        <f t="shared" si="4"/>
        <v>0</v>
      </c>
      <c r="K72" s="20">
        <f t="shared" si="5"/>
        <v>142035.94</v>
      </c>
    </row>
    <row r="73" spans="1:13" ht="18.75" x14ac:dyDescent="0.3">
      <c r="B73" s="42">
        <v>44332</v>
      </c>
      <c r="C73" s="43" t="s">
        <v>449</v>
      </c>
      <c r="D73" s="18"/>
      <c r="E73" s="18"/>
      <c r="F73" s="18"/>
      <c r="G73" s="18"/>
      <c r="H73" s="18">
        <v>60</v>
      </c>
      <c r="I73" s="19"/>
      <c r="J73" s="20">
        <f t="shared" si="4"/>
        <v>0</v>
      </c>
      <c r="K73" s="20">
        <f t="shared" si="5"/>
        <v>141975.94</v>
      </c>
    </row>
    <row r="74" spans="1:13" ht="18.75" x14ac:dyDescent="0.3">
      <c r="B74" s="42">
        <v>44332</v>
      </c>
      <c r="C74" s="43" t="s">
        <v>424</v>
      </c>
      <c r="D74" s="18"/>
      <c r="E74" s="18"/>
      <c r="F74" s="18"/>
      <c r="G74" s="18"/>
      <c r="H74" s="18">
        <v>250</v>
      </c>
      <c r="I74" s="19"/>
      <c r="J74" s="20">
        <f t="shared" si="4"/>
        <v>0</v>
      </c>
      <c r="K74" s="20">
        <f t="shared" si="5"/>
        <v>141725.94</v>
      </c>
      <c r="L74" s="1"/>
    </row>
    <row r="75" spans="1:13" ht="18.75" x14ac:dyDescent="0.3">
      <c r="B75" s="42">
        <v>44332</v>
      </c>
      <c r="C75" s="43" t="s">
        <v>329</v>
      </c>
      <c r="D75" s="18"/>
      <c r="E75" s="18"/>
      <c r="F75" s="18"/>
      <c r="G75" s="18"/>
      <c r="H75" s="18">
        <v>400</v>
      </c>
      <c r="I75" s="19"/>
      <c r="J75" s="20">
        <f t="shared" si="4"/>
        <v>0</v>
      </c>
      <c r="K75" s="20">
        <f t="shared" si="5"/>
        <v>141325.94</v>
      </c>
    </row>
    <row r="76" spans="1:13" ht="18.75" x14ac:dyDescent="0.3">
      <c r="B76" s="42">
        <v>44332</v>
      </c>
      <c r="C76" s="33" t="s">
        <v>90</v>
      </c>
      <c r="D76" s="18">
        <v>13850</v>
      </c>
      <c r="E76" s="18"/>
      <c r="F76" s="18"/>
      <c r="G76" s="18"/>
      <c r="H76" s="18"/>
      <c r="I76" s="19"/>
      <c r="J76" s="20">
        <f t="shared" si="4"/>
        <v>0</v>
      </c>
      <c r="K76" s="20">
        <f t="shared" si="5"/>
        <v>155175.94</v>
      </c>
    </row>
    <row r="77" spans="1:13" ht="18.75" x14ac:dyDescent="0.3">
      <c r="B77" s="42">
        <v>44333</v>
      </c>
      <c r="C77" s="33" t="s">
        <v>425</v>
      </c>
      <c r="D77" s="18"/>
      <c r="E77" s="18"/>
      <c r="F77" s="18"/>
      <c r="G77" s="18"/>
      <c r="H77" s="18">
        <v>84</v>
      </c>
      <c r="I77" s="19"/>
      <c r="J77" s="20">
        <f t="shared" si="4"/>
        <v>0</v>
      </c>
      <c r="K77" s="20">
        <f t="shared" si="5"/>
        <v>155091.94</v>
      </c>
    </row>
    <row r="78" spans="1:13" ht="18.75" x14ac:dyDescent="0.3">
      <c r="A78" s="4"/>
      <c r="B78" s="42">
        <v>44333</v>
      </c>
      <c r="C78" s="33" t="s">
        <v>426</v>
      </c>
      <c r="D78" s="34"/>
      <c r="E78" s="18"/>
      <c r="F78" s="18"/>
      <c r="G78" s="18"/>
      <c r="H78" s="18">
        <v>300</v>
      </c>
      <c r="I78" s="19"/>
      <c r="J78" s="20">
        <f t="shared" si="4"/>
        <v>0</v>
      </c>
      <c r="K78" s="20">
        <f t="shared" si="5"/>
        <v>154791.94</v>
      </c>
    </row>
    <row r="79" spans="1:13" ht="18.75" x14ac:dyDescent="0.3">
      <c r="B79" s="42">
        <v>44334</v>
      </c>
      <c r="C79" s="33" t="s">
        <v>427</v>
      </c>
      <c r="D79" s="34"/>
      <c r="E79" s="18"/>
      <c r="F79" s="18"/>
      <c r="G79" s="18"/>
      <c r="H79" s="18">
        <v>350</v>
      </c>
      <c r="I79" s="19"/>
      <c r="J79" s="20">
        <f t="shared" si="4"/>
        <v>0</v>
      </c>
      <c r="K79" s="20">
        <f t="shared" si="5"/>
        <v>154441.94</v>
      </c>
      <c r="L79" s="1"/>
    </row>
    <row r="80" spans="1:13" ht="18.75" x14ac:dyDescent="0.3">
      <c r="B80" s="42">
        <v>44335</v>
      </c>
      <c r="C80" s="33" t="s">
        <v>422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154141.94</v>
      </c>
    </row>
    <row r="81" spans="1:11" ht="18.75" x14ac:dyDescent="0.3">
      <c r="B81" s="47">
        <v>44335</v>
      </c>
      <c r="C81" s="54" t="s">
        <v>429</v>
      </c>
      <c r="D81" s="34"/>
      <c r="E81" s="34"/>
      <c r="F81" s="34"/>
      <c r="G81" s="34"/>
      <c r="H81" s="18">
        <v>30</v>
      </c>
      <c r="I81" s="19"/>
      <c r="J81" s="20">
        <f t="shared" si="4"/>
        <v>0</v>
      </c>
      <c r="K81" s="20">
        <f t="shared" si="5"/>
        <v>154111.94</v>
      </c>
    </row>
    <row r="82" spans="1:11" ht="18.75" x14ac:dyDescent="0.3">
      <c r="B82" s="22">
        <v>44335</v>
      </c>
      <c r="C82" s="43" t="s">
        <v>329</v>
      </c>
      <c r="D82" s="18"/>
      <c r="E82" s="18"/>
      <c r="F82" s="18"/>
      <c r="G82" s="18"/>
      <c r="H82" s="18">
        <v>350</v>
      </c>
      <c r="I82" s="19"/>
      <c r="J82" s="20">
        <f t="shared" si="4"/>
        <v>0</v>
      </c>
      <c r="K82" s="20">
        <f t="shared" si="5"/>
        <v>153761.94</v>
      </c>
    </row>
    <row r="83" spans="1:11" ht="18.75" x14ac:dyDescent="0.3">
      <c r="B83" s="42">
        <v>44336</v>
      </c>
      <c r="C83" s="43" t="s">
        <v>430</v>
      </c>
      <c r="D83" s="18"/>
      <c r="E83" s="18"/>
      <c r="F83" s="18"/>
      <c r="G83" s="18"/>
      <c r="H83" s="18">
        <v>40.5</v>
      </c>
      <c r="I83" s="19"/>
      <c r="J83" s="20">
        <f t="shared" si="4"/>
        <v>0</v>
      </c>
      <c r="K83" s="20">
        <f t="shared" si="5"/>
        <v>153721.44</v>
      </c>
    </row>
    <row r="84" spans="1:11" ht="18.75" x14ac:dyDescent="0.3">
      <c r="B84" s="44">
        <v>44336</v>
      </c>
      <c r="C84" s="43" t="s">
        <v>430</v>
      </c>
      <c r="D84" s="34"/>
      <c r="E84" s="18"/>
      <c r="F84" s="18"/>
      <c r="G84" s="18"/>
      <c r="H84" s="18">
        <v>46.5</v>
      </c>
      <c r="I84" s="19"/>
      <c r="J84" s="20">
        <f t="shared" si="4"/>
        <v>0</v>
      </c>
      <c r="K84" s="20">
        <f t="shared" si="5"/>
        <v>153674.94</v>
      </c>
    </row>
    <row r="85" spans="1:11" ht="18.75" x14ac:dyDescent="0.3">
      <c r="B85" s="47">
        <v>44336</v>
      </c>
      <c r="C85" s="43" t="s">
        <v>431</v>
      </c>
      <c r="D85" s="34"/>
      <c r="E85" s="18"/>
      <c r="F85" s="18"/>
      <c r="G85" s="18"/>
      <c r="H85" s="18">
        <v>1000</v>
      </c>
      <c r="I85" s="19"/>
      <c r="J85" s="20">
        <f t="shared" si="4"/>
        <v>0</v>
      </c>
      <c r="K85" s="20">
        <f t="shared" si="5"/>
        <v>152674.94</v>
      </c>
    </row>
    <row r="86" spans="1:11" ht="18.75" x14ac:dyDescent="0.3">
      <c r="B86" s="47">
        <v>44336</v>
      </c>
      <c r="C86" s="43" t="s">
        <v>106</v>
      </c>
      <c r="D86" s="34"/>
      <c r="E86" s="18"/>
      <c r="F86" s="18"/>
      <c r="G86" s="18"/>
      <c r="H86" s="18">
        <v>800</v>
      </c>
      <c r="I86" s="19"/>
      <c r="J86" s="20">
        <f t="shared" si="4"/>
        <v>0</v>
      </c>
      <c r="K86" s="20">
        <f t="shared" si="5"/>
        <v>151874.94</v>
      </c>
    </row>
    <row r="87" spans="1:11" ht="18.75" x14ac:dyDescent="0.3">
      <c r="B87" s="47">
        <v>44337</v>
      </c>
      <c r="C87" s="43" t="s">
        <v>291</v>
      </c>
      <c r="D87" s="34"/>
      <c r="E87" s="18"/>
      <c r="F87" s="18"/>
      <c r="G87" s="18"/>
      <c r="H87" s="18">
        <v>200</v>
      </c>
      <c r="I87" s="19"/>
      <c r="J87" s="20">
        <f t="shared" si="4"/>
        <v>0</v>
      </c>
      <c r="K87" s="20">
        <f t="shared" si="5"/>
        <v>151674.94</v>
      </c>
    </row>
    <row r="88" spans="1:11" ht="18.75" x14ac:dyDescent="0.3">
      <c r="B88" s="47">
        <v>44337</v>
      </c>
      <c r="C88" s="43" t="s">
        <v>432</v>
      </c>
      <c r="D88" s="34"/>
      <c r="E88" s="18"/>
      <c r="F88" s="18"/>
      <c r="G88" s="18"/>
      <c r="H88" s="18">
        <v>21.6</v>
      </c>
      <c r="I88" s="19"/>
      <c r="J88" s="20">
        <f t="shared" si="4"/>
        <v>0</v>
      </c>
      <c r="K88" s="20">
        <f t="shared" si="5"/>
        <v>151653.34</v>
      </c>
    </row>
    <row r="89" spans="1:11" ht="18.75" x14ac:dyDescent="0.3">
      <c r="B89" s="48">
        <v>44338</v>
      </c>
      <c r="C89" s="21" t="s">
        <v>422</v>
      </c>
      <c r="D89" s="34"/>
      <c r="E89" s="18"/>
      <c r="F89" s="18"/>
      <c r="G89" s="18"/>
      <c r="H89" s="18">
        <v>449.8</v>
      </c>
      <c r="I89" s="19"/>
      <c r="J89" s="20">
        <f t="shared" si="4"/>
        <v>0</v>
      </c>
      <c r="K89" s="20">
        <f t="shared" si="5"/>
        <v>151203.54</v>
      </c>
    </row>
    <row r="90" spans="1:11" ht="18.75" x14ac:dyDescent="0.3">
      <c r="B90" s="48">
        <v>44338</v>
      </c>
      <c r="C90" s="21" t="s">
        <v>329</v>
      </c>
      <c r="D90" s="34"/>
      <c r="E90" s="18"/>
      <c r="F90" s="18"/>
      <c r="G90" s="18"/>
      <c r="H90" s="18">
        <v>400</v>
      </c>
      <c r="I90" s="19"/>
      <c r="J90" s="20">
        <f t="shared" si="4"/>
        <v>0</v>
      </c>
      <c r="K90" s="20">
        <f t="shared" si="5"/>
        <v>150803.54</v>
      </c>
    </row>
    <row r="91" spans="1:11" ht="18.75" x14ac:dyDescent="0.3">
      <c r="A91" s="4"/>
      <c r="B91" s="48">
        <v>44339</v>
      </c>
      <c r="C91" s="17" t="s">
        <v>433</v>
      </c>
      <c r="D91" s="34"/>
      <c r="E91" s="18"/>
      <c r="F91" s="18"/>
      <c r="G91" s="18"/>
      <c r="H91" s="18">
        <v>100</v>
      </c>
      <c r="I91" s="19"/>
      <c r="J91" s="20">
        <f t="shared" si="4"/>
        <v>0</v>
      </c>
      <c r="K91" s="20">
        <f t="shared" si="5"/>
        <v>150703.54</v>
      </c>
    </row>
    <row r="92" spans="1:11" ht="18.75" x14ac:dyDescent="0.3">
      <c r="B92" s="49">
        <v>44339</v>
      </c>
      <c r="C92" s="17" t="s">
        <v>183</v>
      </c>
      <c r="D92" s="50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150503.54</v>
      </c>
    </row>
    <row r="93" spans="1:11" ht="18.75" x14ac:dyDescent="0.3">
      <c r="B93" s="49">
        <v>44339</v>
      </c>
      <c r="C93" s="21" t="s">
        <v>449</v>
      </c>
      <c r="D93" s="34"/>
      <c r="E93" s="18"/>
      <c r="F93" s="18"/>
      <c r="G93" s="18"/>
      <c r="H93" s="18">
        <v>100</v>
      </c>
      <c r="I93" s="19"/>
      <c r="J93" s="20">
        <f t="shared" si="4"/>
        <v>0</v>
      </c>
      <c r="K93" s="20">
        <f t="shared" si="5"/>
        <v>150403.54</v>
      </c>
    </row>
    <row r="94" spans="1:11" ht="18.75" x14ac:dyDescent="0.3">
      <c r="B94" s="49">
        <v>44339</v>
      </c>
      <c r="C94" s="21" t="s">
        <v>424</v>
      </c>
      <c r="D94" s="34"/>
      <c r="E94" s="18"/>
      <c r="F94" s="18"/>
      <c r="G94" s="18"/>
      <c r="H94" s="18">
        <v>250</v>
      </c>
      <c r="I94" s="19"/>
      <c r="J94" s="20">
        <f t="shared" si="4"/>
        <v>0</v>
      </c>
      <c r="K94" s="20">
        <f t="shared" si="5"/>
        <v>150153.54</v>
      </c>
    </row>
    <row r="95" spans="1:11" ht="18.75" x14ac:dyDescent="0.3">
      <c r="B95" s="49">
        <v>44339</v>
      </c>
      <c r="C95" s="21" t="s">
        <v>434</v>
      </c>
      <c r="D95" s="34"/>
      <c r="E95" s="18"/>
      <c r="F95" s="18"/>
      <c r="G95" s="18"/>
      <c r="H95" s="18">
        <v>350</v>
      </c>
      <c r="I95" s="19"/>
      <c r="J95" s="20">
        <f t="shared" ref="J95:J99" si="6">+J94+E95-G95</f>
        <v>0</v>
      </c>
      <c r="K95" s="20">
        <f t="shared" ref="K95:K99" si="7">+K94+D95-H95</f>
        <v>149803.54</v>
      </c>
    </row>
    <row r="96" spans="1:11" ht="18.75" x14ac:dyDescent="0.3">
      <c r="B96" s="49">
        <v>44339</v>
      </c>
      <c r="C96" s="21" t="s">
        <v>436</v>
      </c>
      <c r="D96" s="34">
        <v>14350</v>
      </c>
      <c r="E96" s="18"/>
      <c r="F96" s="18"/>
      <c r="G96" s="18"/>
      <c r="H96" s="18"/>
      <c r="I96" s="19"/>
      <c r="J96" s="20">
        <f t="shared" si="6"/>
        <v>0</v>
      </c>
      <c r="K96" s="20">
        <f t="shared" si="7"/>
        <v>164153.54</v>
      </c>
    </row>
    <row r="97" spans="2:15" ht="18.75" x14ac:dyDescent="0.3">
      <c r="B97" s="49">
        <v>44340</v>
      </c>
      <c r="C97" s="21" t="s">
        <v>435</v>
      </c>
      <c r="D97" s="34"/>
      <c r="E97" s="18"/>
      <c r="F97" s="18"/>
      <c r="G97" s="18"/>
      <c r="H97" s="18">
        <v>300</v>
      </c>
      <c r="I97" s="19"/>
      <c r="J97" s="20">
        <f t="shared" si="6"/>
        <v>0</v>
      </c>
      <c r="K97" s="20">
        <f t="shared" si="7"/>
        <v>163853.54</v>
      </c>
    </row>
    <row r="98" spans="2:15" ht="18.75" x14ac:dyDescent="0.3">
      <c r="B98" s="49">
        <v>44340</v>
      </c>
      <c r="C98" s="21" t="s">
        <v>437</v>
      </c>
      <c r="D98" s="34"/>
      <c r="E98" s="18"/>
      <c r="F98" s="18"/>
      <c r="G98" s="18"/>
      <c r="H98" s="18">
        <v>168</v>
      </c>
      <c r="I98" s="19"/>
      <c r="J98" s="20">
        <f t="shared" si="6"/>
        <v>0</v>
      </c>
      <c r="K98" s="20">
        <f t="shared" si="7"/>
        <v>163685.54</v>
      </c>
    </row>
    <row r="99" spans="2:15" ht="18.75" x14ac:dyDescent="0.3">
      <c r="B99" s="49">
        <v>44340</v>
      </c>
      <c r="C99" s="21" t="s">
        <v>438</v>
      </c>
      <c r="D99" s="34"/>
      <c r="E99" s="18"/>
      <c r="F99" s="18"/>
      <c r="G99" s="18"/>
      <c r="H99" s="18">
        <v>198.4</v>
      </c>
      <c r="I99" s="19"/>
      <c r="J99" s="20">
        <f t="shared" si="6"/>
        <v>0</v>
      </c>
      <c r="K99" s="20">
        <f t="shared" si="7"/>
        <v>163487.14000000001</v>
      </c>
      <c r="L99" s="1"/>
    </row>
    <row r="100" spans="2:15" ht="18.75" x14ac:dyDescent="0.3">
      <c r="B100" s="49">
        <v>44340</v>
      </c>
      <c r="C100" s="21" t="s">
        <v>356</v>
      </c>
      <c r="D100" s="34"/>
      <c r="E100" s="18"/>
      <c r="F100" s="18"/>
      <c r="G100" s="18"/>
      <c r="H100" s="18">
        <v>173</v>
      </c>
      <c r="I100" s="19"/>
      <c r="J100" s="20">
        <f t="shared" si="4"/>
        <v>0</v>
      </c>
      <c r="K100" s="20">
        <f t="shared" si="5"/>
        <v>163314.14000000001</v>
      </c>
    </row>
    <row r="101" spans="2:15" ht="19.5" thickBot="1" x14ac:dyDescent="0.35">
      <c r="B101" s="49">
        <v>44340</v>
      </c>
      <c r="C101" s="21" t="s">
        <v>329</v>
      </c>
      <c r="D101" s="34"/>
      <c r="E101" s="18"/>
      <c r="F101" s="34"/>
      <c r="G101" s="18"/>
      <c r="H101" s="18">
        <v>350</v>
      </c>
      <c r="I101" s="19"/>
      <c r="J101" s="20">
        <f t="shared" si="4"/>
        <v>0</v>
      </c>
      <c r="K101" s="20">
        <f t="shared" si="5"/>
        <v>162964.14000000001</v>
      </c>
    </row>
    <row r="102" spans="2:15" ht="19.5" thickBot="1" x14ac:dyDescent="0.35">
      <c r="B102" s="25"/>
      <c r="C102" s="26" t="s">
        <v>0</v>
      </c>
      <c r="D102" s="27">
        <f>SUM(D54:D101)</f>
        <v>101150</v>
      </c>
      <c r="E102" s="28">
        <f>SUM(E54:E101)</f>
        <v>0</v>
      </c>
      <c r="F102" s="29">
        <f>SUM(D102:E102)</f>
        <v>101150</v>
      </c>
      <c r="G102" s="30">
        <f>SUM(G54:G101)</f>
        <v>0</v>
      </c>
      <c r="H102" s="27">
        <f>SUM(H54:H101)</f>
        <v>93107.180000000008</v>
      </c>
      <c r="I102" s="29">
        <f>SUM(G102:H102)</f>
        <v>93107.180000000008</v>
      </c>
      <c r="J102" s="20"/>
      <c r="K102" s="20"/>
      <c r="M102">
        <v>1000</v>
      </c>
    </row>
    <row r="103" spans="2:15" ht="18.75" x14ac:dyDescent="0.3">
      <c r="B103" s="7" t="s">
        <v>1</v>
      </c>
      <c r="C103" s="7" t="s">
        <v>2</v>
      </c>
      <c r="D103" s="7" t="s">
        <v>3</v>
      </c>
      <c r="E103" s="7" t="s">
        <v>3</v>
      </c>
      <c r="F103" s="7" t="s">
        <v>8</v>
      </c>
      <c r="G103" s="7" t="s">
        <v>9</v>
      </c>
      <c r="H103" s="8" t="s">
        <v>9</v>
      </c>
      <c r="I103" s="8" t="s">
        <v>8</v>
      </c>
      <c r="J103" s="7" t="s">
        <v>7</v>
      </c>
      <c r="K103" s="8" t="s">
        <v>6</v>
      </c>
      <c r="M103">
        <v>1000</v>
      </c>
    </row>
    <row r="104" spans="2:15" ht="19.5" thickBot="1" x14ac:dyDescent="0.35">
      <c r="B104" s="9"/>
      <c r="C104" s="9"/>
      <c r="D104" s="9" t="s">
        <v>5</v>
      </c>
      <c r="E104" s="9" t="s">
        <v>7</v>
      </c>
      <c r="F104" s="9" t="s">
        <v>3</v>
      </c>
      <c r="G104" s="9" t="s">
        <v>7</v>
      </c>
      <c r="H104" s="10" t="s">
        <v>5</v>
      </c>
      <c r="I104" s="10" t="s">
        <v>4</v>
      </c>
      <c r="J104" s="9"/>
      <c r="K104" s="10"/>
      <c r="O104">
        <v>1000</v>
      </c>
    </row>
    <row r="105" spans="2:15" ht="19.5" thickBot="1" x14ac:dyDescent="0.35">
      <c r="B105" s="25"/>
      <c r="C105" s="26"/>
      <c r="D105" s="27">
        <v>101150</v>
      </c>
      <c r="E105" s="28">
        <v>0</v>
      </c>
      <c r="F105" s="29">
        <v>101150</v>
      </c>
      <c r="G105" s="30">
        <v>0</v>
      </c>
      <c r="H105" s="27">
        <v>93106.38</v>
      </c>
      <c r="I105" s="29">
        <f>SUM(G105:H105)</f>
        <v>93106.38</v>
      </c>
      <c r="J105" s="53">
        <v>0</v>
      </c>
      <c r="K105" s="53">
        <v>0</v>
      </c>
      <c r="O105">
        <v>700</v>
      </c>
    </row>
    <row r="106" spans="2:15" ht="18.75" x14ac:dyDescent="0.3">
      <c r="B106" s="49">
        <v>44340</v>
      </c>
      <c r="C106" s="21" t="s">
        <v>439</v>
      </c>
      <c r="D106" s="34"/>
      <c r="E106" s="18"/>
      <c r="F106" s="34"/>
      <c r="G106" s="18"/>
      <c r="H106" s="18">
        <v>500</v>
      </c>
      <c r="I106" s="19"/>
      <c r="J106" s="20">
        <f>+J101+E106-G106</f>
        <v>0</v>
      </c>
      <c r="K106" s="20">
        <f>+K101+D106-H106</f>
        <v>162464.14000000001</v>
      </c>
      <c r="O106">
        <v>300</v>
      </c>
    </row>
    <row r="107" spans="2:15" ht="18.75" x14ac:dyDescent="0.3">
      <c r="B107" s="49">
        <v>44341</v>
      </c>
      <c r="C107" s="21" t="s">
        <v>329</v>
      </c>
      <c r="D107" s="34"/>
      <c r="E107" s="18"/>
      <c r="F107" s="34"/>
      <c r="G107" s="18"/>
      <c r="H107" s="18">
        <v>650</v>
      </c>
      <c r="I107" s="19"/>
      <c r="J107" s="20">
        <f t="shared" si="4"/>
        <v>0</v>
      </c>
      <c r="K107" s="20">
        <f t="shared" si="5"/>
        <v>161814.14000000001</v>
      </c>
      <c r="O107">
        <v>500</v>
      </c>
    </row>
    <row r="108" spans="2:15" ht="18.75" x14ac:dyDescent="0.3">
      <c r="B108" s="49">
        <v>44342</v>
      </c>
      <c r="C108" s="21" t="s">
        <v>440</v>
      </c>
      <c r="D108" s="34"/>
      <c r="E108" s="18"/>
      <c r="F108" s="34"/>
      <c r="G108" s="18"/>
      <c r="H108" s="18">
        <v>350</v>
      </c>
      <c r="I108" s="19"/>
      <c r="J108" s="20">
        <f t="shared" si="4"/>
        <v>0</v>
      </c>
      <c r="K108" s="20">
        <f t="shared" si="5"/>
        <v>161464.14000000001</v>
      </c>
      <c r="O108">
        <f>SUM(O104:O107)</f>
        <v>2500</v>
      </c>
    </row>
    <row r="109" spans="2:15" ht="18.75" x14ac:dyDescent="0.3">
      <c r="B109" s="49">
        <v>44342</v>
      </c>
      <c r="C109" s="17" t="s">
        <v>329</v>
      </c>
      <c r="D109" s="34"/>
      <c r="E109" s="34"/>
      <c r="F109" s="34"/>
      <c r="G109" s="18"/>
      <c r="H109" s="18">
        <v>350</v>
      </c>
      <c r="I109" s="19"/>
      <c r="J109" s="20">
        <f t="shared" si="4"/>
        <v>0</v>
      </c>
      <c r="K109" s="20">
        <f t="shared" si="5"/>
        <v>161114.14000000001</v>
      </c>
    </row>
    <row r="110" spans="2:15" ht="18.75" x14ac:dyDescent="0.3">
      <c r="B110" s="49">
        <v>44342</v>
      </c>
      <c r="C110" s="17" t="s">
        <v>441</v>
      </c>
      <c r="D110" s="34"/>
      <c r="E110" s="34"/>
      <c r="F110" s="34"/>
      <c r="G110" s="18"/>
      <c r="H110" s="18">
        <v>99.23</v>
      </c>
      <c r="I110" s="19"/>
      <c r="J110" s="20">
        <f t="shared" ref="J110:J111" si="8">+J109+E110-G110</f>
        <v>0</v>
      </c>
      <c r="K110" s="20">
        <f t="shared" ref="K110:K111" si="9">+K109+D110-H110</f>
        <v>161014.91</v>
      </c>
    </row>
    <row r="111" spans="2:15" ht="18.75" x14ac:dyDescent="0.3">
      <c r="B111" s="49">
        <v>44343</v>
      </c>
      <c r="C111" s="17" t="s">
        <v>442</v>
      </c>
      <c r="D111" s="34"/>
      <c r="E111" s="34"/>
      <c r="F111" s="34"/>
      <c r="G111" s="18"/>
      <c r="H111" s="18">
        <v>2400</v>
      </c>
      <c r="I111" s="19"/>
      <c r="J111" s="20">
        <f t="shared" si="8"/>
        <v>0</v>
      </c>
      <c r="K111" s="20">
        <f t="shared" si="9"/>
        <v>158614.91</v>
      </c>
    </row>
    <row r="112" spans="2:15" ht="18.75" x14ac:dyDescent="0.3">
      <c r="B112" s="49">
        <v>44343</v>
      </c>
      <c r="C112" s="17" t="s">
        <v>329</v>
      </c>
      <c r="D112" s="34"/>
      <c r="E112" s="34"/>
      <c r="F112" s="34"/>
      <c r="G112" s="18"/>
      <c r="H112" s="18">
        <v>350</v>
      </c>
      <c r="I112" s="19"/>
      <c r="J112" s="20">
        <f>+J111+E112-G112</f>
        <v>0</v>
      </c>
      <c r="K112" s="20">
        <f>+K111+D112-H112</f>
        <v>158264.91</v>
      </c>
    </row>
    <row r="113" spans="2:11" ht="18.75" x14ac:dyDescent="0.3">
      <c r="B113" s="49">
        <v>44343</v>
      </c>
      <c r="C113" s="17" t="s">
        <v>434</v>
      </c>
      <c r="D113" s="34"/>
      <c r="E113" s="34"/>
      <c r="F113" s="34"/>
      <c r="G113" s="18"/>
      <c r="H113" s="18">
        <v>300</v>
      </c>
      <c r="I113" s="19"/>
      <c r="J113" s="20">
        <f t="shared" ref="J113:J123" si="10">+J112+E113-G113</f>
        <v>0</v>
      </c>
      <c r="K113" s="20">
        <f t="shared" ref="K113:K123" si="11">+K112+D113-H113</f>
        <v>157964.91</v>
      </c>
    </row>
    <row r="114" spans="2:11" ht="18.75" x14ac:dyDescent="0.3">
      <c r="B114" s="49">
        <v>44343</v>
      </c>
      <c r="C114" s="17" t="s">
        <v>422</v>
      </c>
      <c r="D114" s="34"/>
      <c r="E114" s="34"/>
      <c r="F114" s="34"/>
      <c r="G114" s="18"/>
      <c r="H114" s="18">
        <v>300</v>
      </c>
      <c r="I114" s="19"/>
      <c r="J114" s="20">
        <f t="shared" si="10"/>
        <v>0</v>
      </c>
      <c r="K114" s="20">
        <f t="shared" si="11"/>
        <v>157664.91</v>
      </c>
    </row>
    <row r="115" spans="2:11" ht="18.75" x14ac:dyDescent="0.3">
      <c r="B115" s="49">
        <v>44344</v>
      </c>
      <c r="C115" s="17" t="s">
        <v>443</v>
      </c>
      <c r="D115" s="34"/>
      <c r="E115" s="34"/>
      <c r="F115" s="34"/>
      <c r="G115" s="18"/>
      <c r="H115" s="18">
        <v>42</v>
      </c>
      <c r="I115" s="19"/>
      <c r="J115" s="20">
        <f t="shared" si="10"/>
        <v>0</v>
      </c>
      <c r="K115" s="20">
        <f t="shared" si="11"/>
        <v>157622.91</v>
      </c>
    </row>
    <row r="116" spans="2:11" ht="18.75" x14ac:dyDescent="0.3">
      <c r="B116" s="49">
        <v>44345</v>
      </c>
      <c r="C116" s="17" t="s">
        <v>404</v>
      </c>
      <c r="D116" s="34"/>
      <c r="E116" s="34"/>
      <c r="F116" s="34"/>
      <c r="G116" s="18"/>
      <c r="H116" s="18">
        <v>190</v>
      </c>
      <c r="I116" s="19"/>
      <c r="J116" s="20">
        <f t="shared" si="10"/>
        <v>0</v>
      </c>
      <c r="K116" s="20">
        <f t="shared" si="11"/>
        <v>157432.91</v>
      </c>
    </row>
    <row r="117" spans="2:11" ht="18.75" x14ac:dyDescent="0.3">
      <c r="B117" s="49">
        <v>44346</v>
      </c>
      <c r="C117" s="17" t="s">
        <v>444</v>
      </c>
      <c r="D117" s="34"/>
      <c r="E117" s="34"/>
      <c r="F117" s="34"/>
      <c r="G117" s="18"/>
      <c r="H117" s="18">
        <v>100</v>
      </c>
      <c r="I117" s="19"/>
      <c r="J117" s="20">
        <f t="shared" si="10"/>
        <v>0</v>
      </c>
      <c r="K117" s="20">
        <f t="shared" si="11"/>
        <v>157332.91</v>
      </c>
    </row>
    <row r="118" spans="2:11" ht="18.75" x14ac:dyDescent="0.3">
      <c r="B118" s="49">
        <v>44346</v>
      </c>
      <c r="C118" s="17" t="s">
        <v>445</v>
      </c>
      <c r="D118" s="34"/>
      <c r="E118" s="34"/>
      <c r="F118" s="34"/>
      <c r="G118" s="18"/>
      <c r="H118" s="18">
        <v>200</v>
      </c>
      <c r="I118" s="19"/>
      <c r="J118" s="20">
        <f t="shared" si="10"/>
        <v>0</v>
      </c>
      <c r="K118" s="20">
        <f t="shared" si="11"/>
        <v>157132.91</v>
      </c>
    </row>
    <row r="119" spans="2:11" ht="18.75" x14ac:dyDescent="0.3">
      <c r="B119" s="49">
        <v>44346</v>
      </c>
      <c r="C119" s="17" t="s">
        <v>446</v>
      </c>
      <c r="D119" s="34"/>
      <c r="E119" s="34"/>
      <c r="F119" s="34"/>
      <c r="G119" s="18"/>
      <c r="H119" s="18">
        <v>50</v>
      </c>
      <c r="I119" s="19"/>
      <c r="J119" s="20">
        <f t="shared" si="10"/>
        <v>0</v>
      </c>
      <c r="K119" s="20">
        <f t="shared" si="11"/>
        <v>157082.91</v>
      </c>
    </row>
    <row r="120" spans="2:11" ht="18.75" x14ac:dyDescent="0.3">
      <c r="B120" s="49">
        <v>44346</v>
      </c>
      <c r="C120" s="17" t="s">
        <v>449</v>
      </c>
      <c r="D120" s="34"/>
      <c r="E120" s="34"/>
      <c r="F120" s="34"/>
      <c r="G120" s="18"/>
      <c r="H120" s="18">
        <v>100</v>
      </c>
      <c r="I120" s="19"/>
      <c r="J120" s="20">
        <f t="shared" si="10"/>
        <v>0</v>
      </c>
      <c r="K120" s="20">
        <f t="shared" si="11"/>
        <v>156982.91</v>
      </c>
    </row>
    <row r="121" spans="2:11" ht="18.75" x14ac:dyDescent="0.3">
      <c r="B121" s="49">
        <v>44346</v>
      </c>
      <c r="C121" s="17" t="s">
        <v>447</v>
      </c>
      <c r="D121" s="34">
        <v>23200</v>
      </c>
      <c r="E121" s="34"/>
      <c r="F121" s="34"/>
      <c r="G121" s="18"/>
      <c r="H121" s="18"/>
      <c r="I121" s="19"/>
      <c r="J121" s="20">
        <f t="shared" si="10"/>
        <v>0</v>
      </c>
      <c r="K121" s="20">
        <f t="shared" si="11"/>
        <v>180182.91</v>
      </c>
    </row>
    <row r="122" spans="2:11" ht="18.75" x14ac:dyDescent="0.3">
      <c r="B122" s="49">
        <v>44347</v>
      </c>
      <c r="C122" s="17" t="s">
        <v>325</v>
      </c>
      <c r="D122" s="34"/>
      <c r="E122" s="34"/>
      <c r="F122" s="34"/>
      <c r="G122" s="18"/>
      <c r="H122" s="18">
        <v>120</v>
      </c>
      <c r="I122" s="19"/>
      <c r="J122" s="20">
        <f t="shared" si="10"/>
        <v>0</v>
      </c>
      <c r="K122" s="20">
        <f t="shared" si="11"/>
        <v>180062.91</v>
      </c>
    </row>
    <row r="123" spans="2:11" ht="18.75" x14ac:dyDescent="0.3">
      <c r="B123" s="49">
        <v>44347</v>
      </c>
      <c r="C123" s="17" t="s">
        <v>356</v>
      </c>
      <c r="D123" s="34"/>
      <c r="E123" s="34"/>
      <c r="F123" s="34"/>
      <c r="G123" s="18"/>
      <c r="H123" s="18">
        <v>166</v>
      </c>
      <c r="I123" s="19"/>
      <c r="J123" s="20">
        <f t="shared" si="10"/>
        <v>0</v>
      </c>
      <c r="K123" s="20">
        <f t="shared" si="11"/>
        <v>179896.91</v>
      </c>
    </row>
    <row r="124" spans="2:11" ht="18.75" x14ac:dyDescent="0.3">
      <c r="B124" s="49">
        <v>44347</v>
      </c>
      <c r="C124" s="21" t="s">
        <v>184</v>
      </c>
      <c r="D124" s="34"/>
      <c r="E124" s="34"/>
      <c r="F124" s="34"/>
      <c r="G124" s="18"/>
      <c r="H124" s="18">
        <v>250</v>
      </c>
      <c r="I124" s="19"/>
      <c r="J124" s="20">
        <f t="shared" ref="J124:J133" si="12">+J123+E124-G124</f>
        <v>0</v>
      </c>
      <c r="K124" s="20">
        <f t="shared" ref="K124:K133" si="13">+K123+D124-H124</f>
        <v>179646.91</v>
      </c>
    </row>
    <row r="125" spans="2:11" ht="18.75" x14ac:dyDescent="0.3">
      <c r="B125" s="49">
        <v>44347</v>
      </c>
      <c r="C125" s="21" t="s">
        <v>185</v>
      </c>
      <c r="D125" s="34"/>
      <c r="E125" s="34"/>
      <c r="F125" s="34"/>
      <c r="G125" s="18"/>
      <c r="H125" s="18">
        <v>300</v>
      </c>
      <c r="I125" s="19"/>
      <c r="J125" s="20">
        <f t="shared" si="12"/>
        <v>0</v>
      </c>
      <c r="K125" s="20">
        <f t="shared" si="13"/>
        <v>179346.91</v>
      </c>
    </row>
    <row r="126" spans="2:11" ht="18.75" x14ac:dyDescent="0.3">
      <c r="B126" s="49">
        <v>37042</v>
      </c>
      <c r="C126" s="21" t="s">
        <v>186</v>
      </c>
      <c r="D126" s="34"/>
      <c r="E126" s="34"/>
      <c r="F126" s="34"/>
      <c r="G126" s="18"/>
      <c r="H126" s="18">
        <v>650</v>
      </c>
      <c r="I126" s="19"/>
      <c r="J126" s="20">
        <f t="shared" si="12"/>
        <v>0</v>
      </c>
      <c r="K126" s="20">
        <f t="shared" si="13"/>
        <v>178696.91</v>
      </c>
    </row>
    <row r="127" spans="2:11" ht="18.75" x14ac:dyDescent="0.3">
      <c r="B127" s="49">
        <v>44347</v>
      </c>
      <c r="C127" s="24" t="s">
        <v>188</v>
      </c>
      <c r="D127" s="34"/>
      <c r="E127" s="34"/>
      <c r="F127" s="34"/>
      <c r="G127" s="18"/>
      <c r="H127" s="18">
        <v>3000</v>
      </c>
      <c r="I127" s="19"/>
      <c r="J127" s="20">
        <f t="shared" si="12"/>
        <v>0</v>
      </c>
      <c r="K127" s="20">
        <f t="shared" si="13"/>
        <v>175696.91</v>
      </c>
    </row>
    <row r="128" spans="2:11" ht="18.75" x14ac:dyDescent="0.3">
      <c r="B128" s="49">
        <v>44347</v>
      </c>
      <c r="C128" s="21" t="s">
        <v>80</v>
      </c>
      <c r="D128" s="34"/>
      <c r="E128" s="34"/>
      <c r="F128" s="34"/>
      <c r="G128" s="18"/>
      <c r="H128" s="18">
        <v>3400</v>
      </c>
      <c r="I128" s="19"/>
      <c r="J128" s="20">
        <f t="shared" si="12"/>
        <v>0</v>
      </c>
      <c r="K128" s="20">
        <f t="shared" si="13"/>
        <v>172296.91</v>
      </c>
    </row>
    <row r="129" spans="2:11" ht="18.75" x14ac:dyDescent="0.3">
      <c r="B129" s="49">
        <v>37042</v>
      </c>
      <c r="C129" s="24" t="s">
        <v>229</v>
      </c>
      <c r="D129" s="34">
        <v>9000</v>
      </c>
      <c r="E129" s="34"/>
      <c r="F129" s="34"/>
      <c r="G129" s="18"/>
      <c r="H129" s="18"/>
      <c r="I129" s="19"/>
      <c r="J129" s="20">
        <f t="shared" si="12"/>
        <v>0</v>
      </c>
      <c r="K129" s="20">
        <f t="shared" si="13"/>
        <v>181296.91</v>
      </c>
    </row>
    <row r="130" spans="2:11" ht="18.75" x14ac:dyDescent="0.3">
      <c r="B130" s="49">
        <v>44347</v>
      </c>
      <c r="C130" s="24" t="s">
        <v>88</v>
      </c>
      <c r="D130" s="34"/>
      <c r="E130" s="18"/>
      <c r="F130" s="18"/>
      <c r="G130" s="18"/>
      <c r="H130" s="18">
        <v>9000</v>
      </c>
      <c r="I130" s="19"/>
      <c r="J130" s="20">
        <f t="shared" si="12"/>
        <v>0</v>
      </c>
      <c r="K130" s="20">
        <f t="shared" si="13"/>
        <v>172296.91</v>
      </c>
    </row>
    <row r="131" spans="2:11" ht="18.75" x14ac:dyDescent="0.3">
      <c r="B131" s="49">
        <v>44347</v>
      </c>
      <c r="C131" s="24" t="s">
        <v>89</v>
      </c>
      <c r="D131" s="34"/>
      <c r="E131" s="18"/>
      <c r="F131" s="18"/>
      <c r="G131" s="18"/>
      <c r="H131" s="18">
        <v>29250</v>
      </c>
      <c r="I131" s="19"/>
      <c r="J131" s="20">
        <f t="shared" si="12"/>
        <v>0</v>
      </c>
      <c r="K131" s="20">
        <f t="shared" si="13"/>
        <v>143046.91</v>
      </c>
    </row>
    <row r="132" spans="2:11" ht="18.75" x14ac:dyDescent="0.3">
      <c r="B132" s="49">
        <v>44347</v>
      </c>
      <c r="C132" s="43" t="s">
        <v>84</v>
      </c>
      <c r="D132" s="34"/>
      <c r="E132" s="18"/>
      <c r="F132" s="18"/>
      <c r="G132" s="18"/>
      <c r="H132" s="18">
        <v>5350</v>
      </c>
      <c r="I132" s="19"/>
      <c r="J132" s="20">
        <f t="shared" si="12"/>
        <v>0</v>
      </c>
      <c r="K132" s="20">
        <f t="shared" si="13"/>
        <v>137696.91</v>
      </c>
    </row>
    <row r="133" spans="2:11" ht="19.5" thickBot="1" x14ac:dyDescent="0.35">
      <c r="B133" s="49"/>
      <c r="C133" s="17"/>
      <c r="D133" s="34"/>
      <c r="E133" s="18"/>
      <c r="F133" s="18"/>
      <c r="G133" s="18"/>
      <c r="H133" s="18"/>
      <c r="I133" s="19"/>
      <c r="J133" s="20">
        <f t="shared" si="12"/>
        <v>0</v>
      </c>
      <c r="K133" s="20">
        <f t="shared" si="13"/>
        <v>137696.91</v>
      </c>
    </row>
    <row r="134" spans="2:11" ht="19.5" thickBot="1" x14ac:dyDescent="0.35">
      <c r="B134" s="25"/>
      <c r="C134" s="26" t="s">
        <v>0</v>
      </c>
      <c r="D134" s="27">
        <f>SUM(D105:D133)</f>
        <v>133350</v>
      </c>
      <c r="E134" s="28">
        <f>SUM(E105:E133)</f>
        <v>0</v>
      </c>
      <c r="F134" s="29">
        <f>SUM(D134:E134)</f>
        <v>133350</v>
      </c>
      <c r="G134" s="30">
        <f>SUM(G63:G132)</f>
        <v>0</v>
      </c>
      <c r="H134" s="27">
        <f>SUM(H105:H133)</f>
        <v>150573.60999999999</v>
      </c>
      <c r="I134" s="29">
        <f>SUM(G134:H134)</f>
        <v>150573.60999999999</v>
      </c>
      <c r="J134" s="31"/>
      <c r="K134" s="31"/>
    </row>
    <row r="135" spans="2:11" ht="19.5" thickBot="1" x14ac:dyDescent="0.35"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2:11" ht="19.5" thickBot="1" x14ac:dyDescent="0.35">
      <c r="B136" s="5"/>
      <c r="C136" s="5"/>
      <c r="D136" s="5"/>
      <c r="E136" s="5"/>
      <c r="F136" s="5"/>
      <c r="G136" s="5"/>
      <c r="H136" s="5"/>
      <c r="I136" s="35" t="s">
        <v>7</v>
      </c>
      <c r="J136" s="35" t="s">
        <v>6</v>
      </c>
      <c r="K136" s="36" t="s">
        <v>0</v>
      </c>
    </row>
    <row r="137" spans="2:11" ht="19.5" thickBot="1" x14ac:dyDescent="0.35">
      <c r="B137" s="5"/>
      <c r="C137" s="5"/>
      <c r="D137" s="5"/>
      <c r="E137" s="5"/>
      <c r="F137" s="5"/>
      <c r="G137" s="5"/>
      <c r="H137" s="5"/>
      <c r="I137" s="37">
        <v>0</v>
      </c>
      <c r="J137" s="37">
        <v>137696.91</v>
      </c>
      <c r="K137" s="31">
        <f>SUM(I137:J137)</f>
        <v>137696.91</v>
      </c>
    </row>
    <row r="138" spans="2:11" x14ac:dyDescent="0.25">
      <c r="D138" s="1"/>
      <c r="E138" s="1"/>
      <c r="F138" s="1"/>
      <c r="G138" s="1"/>
      <c r="J138" s="1"/>
    </row>
    <row r="139" spans="2:11" x14ac:dyDescent="0.25">
      <c r="D139" s="1"/>
      <c r="E139" s="1"/>
      <c r="F139" s="1"/>
      <c r="G139" s="1"/>
      <c r="J139" s="1"/>
    </row>
    <row r="140" spans="2:11" x14ac:dyDescent="0.25">
      <c r="D140" s="1"/>
      <c r="E140" s="1"/>
      <c r="F140" s="1"/>
      <c r="G140" s="1"/>
      <c r="J140" s="1"/>
    </row>
    <row r="141" spans="2:11" x14ac:dyDescent="0.25">
      <c r="D141" s="1"/>
      <c r="E141" s="1"/>
      <c r="F141" s="1"/>
      <c r="G141" s="1"/>
      <c r="J141" s="1"/>
    </row>
    <row r="142" spans="2:11" x14ac:dyDescent="0.25">
      <c r="D142" s="1"/>
      <c r="E142" s="1"/>
      <c r="F142" s="1"/>
      <c r="G142" s="1"/>
      <c r="J142" s="1"/>
    </row>
    <row r="143" spans="2:11" x14ac:dyDescent="0.25">
      <c r="D143" s="1"/>
      <c r="E143" s="1"/>
      <c r="F143" s="1"/>
      <c r="G143" s="1"/>
      <c r="J143" s="1"/>
    </row>
    <row r="144" spans="2:11" x14ac:dyDescent="0.25">
      <c r="D144" s="1"/>
      <c r="E144" s="1"/>
      <c r="F144" s="1"/>
      <c r="G144" s="1"/>
      <c r="J144" s="1"/>
    </row>
    <row r="145" spans="4:11" x14ac:dyDescent="0.25">
      <c r="D145" s="1"/>
      <c r="E145" s="1"/>
      <c r="F145" s="1"/>
      <c r="G145" s="1"/>
      <c r="J145" s="1"/>
    </row>
    <row r="146" spans="4:11" x14ac:dyDescent="0.25">
      <c r="D146" s="1"/>
      <c r="E146" s="1"/>
      <c r="F146" s="1"/>
      <c r="G146" s="1"/>
      <c r="J146" s="1"/>
    </row>
    <row r="147" spans="4:11" x14ac:dyDescent="0.25">
      <c r="D147" s="1"/>
      <c r="E147" s="1"/>
      <c r="F147" s="1"/>
      <c r="G147" s="1"/>
      <c r="J147" s="1"/>
      <c r="K147">
        <v>115668.94</v>
      </c>
    </row>
    <row r="148" spans="4:11" x14ac:dyDescent="0.25">
      <c r="D148" s="1"/>
      <c r="E148" s="1"/>
      <c r="F148" s="1"/>
      <c r="G148" s="1"/>
      <c r="J148" s="1"/>
    </row>
    <row r="149" spans="4:11" x14ac:dyDescent="0.25">
      <c r="D149" s="1"/>
      <c r="E149" s="1"/>
      <c r="F149" s="1"/>
      <c r="G149" s="1"/>
      <c r="J149" s="1"/>
    </row>
    <row r="150" spans="4:11" x14ac:dyDescent="0.25">
      <c r="D150" s="1"/>
      <c r="E150" s="1"/>
      <c r="F150" s="1"/>
      <c r="G150" s="1"/>
      <c r="J150" s="1"/>
    </row>
    <row r="151" spans="4:11" x14ac:dyDescent="0.25">
      <c r="D151" s="1"/>
      <c r="E151" s="1"/>
      <c r="F151" s="1"/>
      <c r="G151" s="1"/>
      <c r="J151" s="1"/>
    </row>
    <row r="152" spans="4:11" x14ac:dyDescent="0.25">
      <c r="D152" s="1"/>
      <c r="E152" s="1"/>
      <c r="F152" s="1"/>
      <c r="G152" s="1"/>
      <c r="J152" s="1"/>
    </row>
    <row r="153" spans="4:11" x14ac:dyDescent="0.25">
      <c r="D153" s="1"/>
      <c r="E153" s="1"/>
      <c r="F153" s="1"/>
      <c r="G153" s="1"/>
      <c r="J153" s="1"/>
    </row>
    <row r="154" spans="4:11" x14ac:dyDescent="0.25">
      <c r="D154" s="1"/>
      <c r="E154" s="1"/>
      <c r="F154" s="1"/>
      <c r="G154" s="1"/>
      <c r="J154" s="1"/>
    </row>
    <row r="155" spans="4:11" x14ac:dyDescent="0.25">
      <c r="D155" s="1"/>
      <c r="E155" s="1"/>
      <c r="F155" s="1"/>
      <c r="G155" s="1"/>
      <c r="J155" s="1"/>
    </row>
    <row r="156" spans="4:11" x14ac:dyDescent="0.25">
      <c r="D156" s="1"/>
      <c r="E156" s="1"/>
      <c r="F156" s="1"/>
      <c r="G156" s="1"/>
      <c r="J156" s="1"/>
    </row>
    <row r="157" spans="4:11" x14ac:dyDescent="0.25">
      <c r="D157" s="1"/>
      <c r="E157" s="1"/>
      <c r="F157" s="1"/>
      <c r="G157" s="1"/>
      <c r="J157" s="1"/>
    </row>
    <row r="158" spans="4:11" x14ac:dyDescent="0.25">
      <c r="D158" s="1"/>
      <c r="E158" s="1"/>
      <c r="F158" s="1"/>
      <c r="G158" s="1"/>
      <c r="J158" s="1"/>
    </row>
    <row r="159" spans="4:11" x14ac:dyDescent="0.25">
      <c r="D159" s="1"/>
      <c r="E159" s="1"/>
      <c r="F159" s="1"/>
      <c r="G159" s="1"/>
      <c r="J159" s="1"/>
    </row>
    <row r="160" spans="4:11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  <row r="174" spans="4:10" x14ac:dyDescent="0.25">
      <c r="D174" s="1"/>
      <c r="E174" s="1"/>
      <c r="F174" s="1"/>
      <c r="G174" s="1"/>
      <c r="J174" s="1"/>
    </row>
    <row r="175" spans="4:10" x14ac:dyDescent="0.25">
      <c r="D175" s="1"/>
      <c r="E175" s="1"/>
      <c r="F175" s="1"/>
      <c r="G175" s="1"/>
      <c r="J175" s="1"/>
    </row>
    <row r="176" spans="4:10" x14ac:dyDescent="0.25">
      <c r="D176" s="1"/>
      <c r="E176" s="1"/>
      <c r="F176" s="1"/>
      <c r="G176" s="1"/>
      <c r="J176" s="1"/>
    </row>
    <row r="177" spans="4:10" x14ac:dyDescent="0.25">
      <c r="D177" s="1"/>
      <c r="E177" s="1"/>
      <c r="F177" s="1"/>
      <c r="G177" s="1"/>
      <c r="J177" s="1"/>
    </row>
    <row r="178" spans="4:10" x14ac:dyDescent="0.25">
      <c r="D178" s="1"/>
      <c r="E178" s="1"/>
      <c r="F178" s="1"/>
      <c r="G178" s="1"/>
      <c r="J178" s="1"/>
    </row>
    <row r="179" spans="4:10" x14ac:dyDescent="0.25">
      <c r="D179" s="1"/>
      <c r="E179" s="1"/>
      <c r="F179" s="1"/>
      <c r="G179" s="1"/>
      <c r="J179" s="1"/>
    </row>
    <row r="180" spans="4:10" x14ac:dyDescent="0.25">
      <c r="D180" s="1"/>
      <c r="E180" s="1"/>
      <c r="F180" s="1"/>
      <c r="G180" s="1"/>
      <c r="J180" s="1"/>
    </row>
    <row r="181" spans="4:10" x14ac:dyDescent="0.25">
      <c r="D181" s="1"/>
      <c r="E181" s="1"/>
      <c r="F181" s="1"/>
      <c r="G181" s="1"/>
      <c r="J181" s="1"/>
    </row>
    <row r="182" spans="4:10" x14ac:dyDescent="0.25">
      <c r="D182" s="1"/>
      <c r="E182" s="1"/>
      <c r="F182" s="1"/>
      <c r="G182" s="1"/>
      <c r="J182" s="1"/>
    </row>
  </sheetData>
  <printOptions horizontalCentered="1"/>
  <pageMargins left="0.59055118110236227" right="0.43307086614173229" top="0" bottom="0" header="0.31496062992125984" footer="0.31496062992125984"/>
  <pageSetup paperSize="9" scale="62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pageSetUpPr fitToPage="1"/>
  </sheetPr>
  <dimension ref="B1:M169"/>
  <sheetViews>
    <sheetView zoomScale="80" zoomScaleNormal="80" workbookViewId="0">
      <pane ySplit="3" topLeftCell="A142" activePane="bottomLeft" state="frozen"/>
      <selection pane="bottomLeft" activeCell="D149" sqref="D149"/>
    </sheetView>
  </sheetViews>
  <sheetFormatPr baseColWidth="10" defaultRowHeight="15" x14ac:dyDescent="0.25"/>
  <cols>
    <col min="1" max="1" width="2" customWidth="1"/>
    <col min="2" max="2" width="13.140625" customWidth="1"/>
    <col min="3" max="3" width="87.5703125" customWidth="1"/>
    <col min="4" max="10" width="13" customWidth="1"/>
    <col min="11" max="11" width="12.85546875" customWidth="1"/>
  </cols>
  <sheetData>
    <row r="1" spans="2:11" ht="19.5" thickBot="1" x14ac:dyDescent="0.35">
      <c r="B1" s="39"/>
      <c r="C1" s="6" t="s">
        <v>20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44347</v>
      </c>
      <c r="C4" s="12" t="s">
        <v>21</v>
      </c>
      <c r="D4" s="13"/>
      <c r="E4" s="14"/>
      <c r="F4" s="14"/>
      <c r="G4" s="14"/>
      <c r="H4" s="15"/>
      <c r="I4" s="16"/>
      <c r="J4" s="53">
        <v>0</v>
      </c>
      <c r="K4" s="53">
        <v>137696.91</v>
      </c>
    </row>
    <row r="5" spans="2:11" ht="18.75" x14ac:dyDescent="0.3">
      <c r="B5" s="11">
        <v>44348</v>
      </c>
      <c r="C5" s="40" t="s">
        <v>451</v>
      </c>
      <c r="D5" s="13"/>
      <c r="E5" s="14"/>
      <c r="F5" s="14"/>
      <c r="G5" s="14"/>
      <c r="H5" s="15">
        <v>300</v>
      </c>
      <c r="I5" s="16"/>
      <c r="J5" s="20">
        <f>+J4+E5-G5</f>
        <v>0</v>
      </c>
      <c r="K5" s="20">
        <f>+K4+D5-H5</f>
        <v>137396.91</v>
      </c>
    </row>
    <row r="6" spans="2:11" ht="18.75" x14ac:dyDescent="0.3">
      <c r="B6" s="11">
        <v>44348</v>
      </c>
      <c r="C6" s="17" t="s">
        <v>452</v>
      </c>
      <c r="D6" s="34"/>
      <c r="E6" s="18"/>
      <c r="F6" s="18"/>
      <c r="G6" s="18"/>
      <c r="H6" s="18">
        <v>250</v>
      </c>
      <c r="I6" s="19"/>
      <c r="J6" s="20">
        <f t="shared" ref="J6:J46" si="0">+J5+E6-G6</f>
        <v>0</v>
      </c>
      <c r="K6" s="20">
        <f t="shared" ref="K6:K46" si="1">+K5+D6-H6</f>
        <v>137146.91</v>
      </c>
    </row>
    <row r="7" spans="2:11" ht="18.75" x14ac:dyDescent="0.3">
      <c r="B7" s="22">
        <v>44349</v>
      </c>
      <c r="C7" s="41" t="s">
        <v>453</v>
      </c>
      <c r="D7" s="34"/>
      <c r="E7" s="18"/>
      <c r="F7" s="18"/>
      <c r="G7" s="18"/>
      <c r="H7" s="18">
        <v>32</v>
      </c>
      <c r="I7" s="19"/>
      <c r="J7" s="20">
        <f t="shared" si="0"/>
        <v>0</v>
      </c>
      <c r="K7" s="20">
        <f t="shared" si="1"/>
        <v>137114.91</v>
      </c>
    </row>
    <row r="8" spans="2:11" ht="18.75" x14ac:dyDescent="0.3">
      <c r="B8" s="22">
        <v>44349</v>
      </c>
      <c r="C8" s="21" t="s">
        <v>454</v>
      </c>
      <c r="D8" s="34"/>
      <c r="E8" s="18"/>
      <c r="F8" s="18"/>
      <c r="G8" s="18"/>
      <c r="H8" s="18">
        <v>115</v>
      </c>
      <c r="I8" s="19"/>
      <c r="J8" s="20">
        <f t="shared" si="0"/>
        <v>0</v>
      </c>
      <c r="K8" s="20">
        <f t="shared" si="1"/>
        <v>136999.91</v>
      </c>
    </row>
    <row r="9" spans="2:11" ht="18.75" x14ac:dyDescent="0.3">
      <c r="B9" s="22">
        <v>44349</v>
      </c>
      <c r="C9" s="21" t="s">
        <v>455</v>
      </c>
      <c r="D9" s="34"/>
      <c r="E9" s="18"/>
      <c r="F9" s="18"/>
      <c r="G9" s="18"/>
      <c r="H9" s="18">
        <v>600</v>
      </c>
      <c r="I9" s="19"/>
      <c r="J9" s="20">
        <f t="shared" si="0"/>
        <v>0</v>
      </c>
      <c r="K9" s="20">
        <f t="shared" si="1"/>
        <v>136399.91</v>
      </c>
    </row>
    <row r="10" spans="2:11" ht="18.75" x14ac:dyDescent="0.3">
      <c r="B10" s="22">
        <v>44349</v>
      </c>
      <c r="C10" s="41" t="s">
        <v>519</v>
      </c>
      <c r="D10" s="34"/>
      <c r="E10" s="18"/>
      <c r="F10" s="18"/>
      <c r="G10" s="18"/>
      <c r="H10" s="18">
        <v>400</v>
      </c>
      <c r="I10" s="19"/>
      <c r="J10" s="20">
        <f t="shared" si="0"/>
        <v>0</v>
      </c>
      <c r="K10" s="20">
        <f t="shared" si="1"/>
        <v>135999.91</v>
      </c>
    </row>
    <row r="11" spans="2:11" ht="18.75" x14ac:dyDescent="0.3">
      <c r="B11" s="22">
        <v>44349</v>
      </c>
      <c r="C11" s="24" t="s">
        <v>456</v>
      </c>
      <c r="D11" s="34"/>
      <c r="E11" s="18"/>
      <c r="F11" s="18"/>
      <c r="G11" s="18"/>
      <c r="H11" s="18">
        <v>2000</v>
      </c>
      <c r="I11" s="19"/>
      <c r="J11" s="20">
        <f t="shared" si="0"/>
        <v>0</v>
      </c>
      <c r="K11" s="20">
        <f t="shared" si="1"/>
        <v>133999.91</v>
      </c>
    </row>
    <row r="12" spans="2:11" ht="18.75" x14ac:dyDescent="0.3">
      <c r="B12" s="22">
        <v>44350</v>
      </c>
      <c r="C12" s="21" t="s">
        <v>455</v>
      </c>
      <c r="D12" s="34"/>
      <c r="E12" s="18"/>
      <c r="F12" s="18"/>
      <c r="G12" s="18"/>
      <c r="H12" s="18">
        <v>650</v>
      </c>
      <c r="I12" s="19"/>
      <c r="J12" s="20">
        <f t="shared" si="0"/>
        <v>0</v>
      </c>
      <c r="K12" s="20">
        <f t="shared" si="1"/>
        <v>133349.91</v>
      </c>
    </row>
    <row r="13" spans="2:11" ht="18.75" x14ac:dyDescent="0.3">
      <c r="B13" s="22">
        <v>44351</v>
      </c>
      <c r="C13" s="21" t="s">
        <v>457</v>
      </c>
      <c r="D13" s="34"/>
      <c r="E13" s="18"/>
      <c r="F13" s="18"/>
      <c r="G13" s="18"/>
      <c r="H13" s="18">
        <v>200</v>
      </c>
      <c r="I13" s="19"/>
      <c r="J13" s="20">
        <f t="shared" si="0"/>
        <v>0</v>
      </c>
      <c r="K13" s="20">
        <f t="shared" si="1"/>
        <v>133149.91</v>
      </c>
    </row>
    <row r="14" spans="2:11" ht="18.75" x14ac:dyDescent="0.3">
      <c r="B14" s="22">
        <v>44351</v>
      </c>
      <c r="C14" s="21" t="s">
        <v>458</v>
      </c>
      <c r="D14" s="34"/>
      <c r="E14" s="18"/>
      <c r="F14" s="18"/>
      <c r="G14" s="18"/>
      <c r="H14" s="18">
        <v>80</v>
      </c>
      <c r="I14" s="19"/>
      <c r="J14" s="20">
        <f t="shared" si="0"/>
        <v>0</v>
      </c>
      <c r="K14" s="20">
        <f t="shared" si="1"/>
        <v>133069.91</v>
      </c>
    </row>
    <row r="15" spans="2:11" ht="18.75" x14ac:dyDescent="0.3">
      <c r="B15" s="22">
        <v>44351</v>
      </c>
      <c r="C15" s="41" t="s">
        <v>460</v>
      </c>
      <c r="D15" s="34"/>
      <c r="E15" s="18"/>
      <c r="F15" s="18"/>
      <c r="G15" s="18"/>
      <c r="H15" s="18">
        <v>300</v>
      </c>
      <c r="I15" s="19"/>
      <c r="J15" s="20">
        <f t="shared" si="0"/>
        <v>0</v>
      </c>
      <c r="K15" s="20">
        <f t="shared" si="1"/>
        <v>132769.91</v>
      </c>
    </row>
    <row r="16" spans="2:11" ht="18.75" x14ac:dyDescent="0.3">
      <c r="B16" s="22">
        <v>44351</v>
      </c>
      <c r="C16" s="21" t="s">
        <v>455</v>
      </c>
      <c r="D16" s="34"/>
      <c r="E16" s="18"/>
      <c r="F16" s="18"/>
      <c r="G16" s="18"/>
      <c r="H16" s="18">
        <v>300</v>
      </c>
      <c r="I16" s="19"/>
      <c r="J16" s="20">
        <f t="shared" si="0"/>
        <v>0</v>
      </c>
      <c r="K16" s="20">
        <f t="shared" si="1"/>
        <v>132469.91</v>
      </c>
    </row>
    <row r="17" spans="2:13" ht="18.75" x14ac:dyDescent="0.3">
      <c r="B17" s="22">
        <v>44351</v>
      </c>
      <c r="C17" s="21" t="s">
        <v>459</v>
      </c>
      <c r="D17" s="34"/>
      <c r="E17" s="18"/>
      <c r="F17" s="18"/>
      <c r="G17" s="18"/>
      <c r="H17" s="18">
        <v>300</v>
      </c>
      <c r="I17" s="19"/>
      <c r="J17" s="20">
        <f t="shared" si="0"/>
        <v>0</v>
      </c>
      <c r="K17" s="20">
        <f t="shared" si="1"/>
        <v>132169.91</v>
      </c>
    </row>
    <row r="18" spans="2:13" ht="18.75" x14ac:dyDescent="0.3">
      <c r="B18" s="22">
        <v>44351</v>
      </c>
      <c r="C18" s="21" t="s">
        <v>461</v>
      </c>
      <c r="D18" s="34"/>
      <c r="E18" s="18"/>
      <c r="F18" s="18"/>
      <c r="G18" s="18"/>
      <c r="H18" s="18">
        <v>200</v>
      </c>
      <c r="I18" s="19"/>
      <c r="J18" s="20">
        <f t="shared" si="0"/>
        <v>0</v>
      </c>
      <c r="K18" s="20">
        <f t="shared" si="1"/>
        <v>131969.91</v>
      </c>
    </row>
    <row r="19" spans="2:13" ht="18.75" x14ac:dyDescent="0.3">
      <c r="B19" s="22">
        <v>44351</v>
      </c>
      <c r="C19" s="21" t="s">
        <v>461</v>
      </c>
      <c r="D19" s="34"/>
      <c r="E19" s="18"/>
      <c r="F19" s="18"/>
      <c r="G19" s="18"/>
      <c r="H19" s="18">
        <v>200</v>
      </c>
      <c r="I19" s="19"/>
      <c r="J19" s="20">
        <f t="shared" si="0"/>
        <v>0</v>
      </c>
      <c r="K19" s="20">
        <f t="shared" si="1"/>
        <v>131769.91</v>
      </c>
    </row>
    <row r="20" spans="2:13" ht="18.75" x14ac:dyDescent="0.3">
      <c r="B20" s="22">
        <v>44351</v>
      </c>
      <c r="C20" s="21" t="s">
        <v>462</v>
      </c>
      <c r="D20" s="34"/>
      <c r="E20" s="18"/>
      <c r="F20" s="18"/>
      <c r="G20" s="18"/>
      <c r="H20" s="18">
        <v>532.25</v>
      </c>
      <c r="I20" s="19"/>
      <c r="J20" s="20">
        <f t="shared" si="0"/>
        <v>0</v>
      </c>
      <c r="K20" s="20">
        <f t="shared" si="1"/>
        <v>131237.66</v>
      </c>
    </row>
    <row r="21" spans="2:13" ht="18.75" x14ac:dyDescent="0.3">
      <c r="B21" s="22">
        <v>44352</v>
      </c>
      <c r="C21" s="21" t="s">
        <v>463</v>
      </c>
      <c r="D21" s="34"/>
      <c r="E21" s="18"/>
      <c r="F21" s="18"/>
      <c r="G21" s="18"/>
      <c r="H21" s="18">
        <v>108.68</v>
      </c>
      <c r="I21" s="19"/>
      <c r="J21" s="20">
        <f t="shared" si="0"/>
        <v>0</v>
      </c>
      <c r="K21" s="20">
        <f t="shared" si="1"/>
        <v>131128.98000000001</v>
      </c>
    </row>
    <row r="22" spans="2:13" ht="18.75" x14ac:dyDescent="0.3">
      <c r="B22" s="22">
        <v>44352</v>
      </c>
      <c r="C22" s="21" t="s">
        <v>520</v>
      </c>
      <c r="D22" s="34"/>
      <c r="E22" s="18"/>
      <c r="F22" s="18"/>
      <c r="G22" s="18"/>
      <c r="H22" s="18">
        <v>270</v>
      </c>
      <c r="I22" s="19"/>
      <c r="J22" s="20">
        <f t="shared" si="0"/>
        <v>0</v>
      </c>
      <c r="K22" s="20">
        <f t="shared" si="1"/>
        <v>130858.98000000001</v>
      </c>
    </row>
    <row r="23" spans="2:13" ht="18.75" x14ac:dyDescent="0.3">
      <c r="B23" s="22">
        <v>44352</v>
      </c>
      <c r="C23" s="21" t="s">
        <v>455</v>
      </c>
      <c r="D23" s="34"/>
      <c r="E23" s="34"/>
      <c r="F23" s="18"/>
      <c r="G23" s="18"/>
      <c r="H23" s="18">
        <v>650</v>
      </c>
      <c r="I23" s="19"/>
      <c r="J23" s="20">
        <f t="shared" si="0"/>
        <v>0</v>
      </c>
      <c r="K23" s="20">
        <f t="shared" si="1"/>
        <v>130208.98000000001</v>
      </c>
    </row>
    <row r="24" spans="2:13" ht="18.75" x14ac:dyDescent="0.3">
      <c r="B24" s="22">
        <v>44353</v>
      </c>
      <c r="C24" s="21" t="s">
        <v>464</v>
      </c>
      <c r="D24" s="34"/>
      <c r="E24" s="34"/>
      <c r="F24" s="18"/>
      <c r="G24" s="18"/>
      <c r="H24" s="18">
        <v>100</v>
      </c>
      <c r="I24" s="19"/>
      <c r="J24" s="20">
        <f t="shared" si="0"/>
        <v>0</v>
      </c>
      <c r="K24" s="20">
        <f t="shared" si="1"/>
        <v>130108.98000000001</v>
      </c>
    </row>
    <row r="25" spans="2:13" ht="18.75" x14ac:dyDescent="0.3">
      <c r="B25" s="42">
        <v>44353</v>
      </c>
      <c r="C25" s="21" t="s">
        <v>521</v>
      </c>
      <c r="D25" s="34"/>
      <c r="E25" s="34"/>
      <c r="F25" s="18"/>
      <c r="G25" s="18"/>
      <c r="H25" s="18">
        <v>200</v>
      </c>
      <c r="I25" s="19"/>
      <c r="J25" s="20">
        <f t="shared" si="0"/>
        <v>0</v>
      </c>
      <c r="K25" s="20">
        <f t="shared" si="1"/>
        <v>129908.98000000001</v>
      </c>
    </row>
    <row r="26" spans="2:13" ht="18.75" x14ac:dyDescent="0.3">
      <c r="B26" s="46">
        <v>44353</v>
      </c>
      <c r="C26" s="21" t="s">
        <v>465</v>
      </c>
      <c r="D26" s="34"/>
      <c r="E26" s="34"/>
      <c r="F26" s="34"/>
      <c r="G26" s="18"/>
      <c r="H26" s="18">
        <v>250</v>
      </c>
      <c r="I26" s="19"/>
      <c r="J26" s="20">
        <f t="shared" si="0"/>
        <v>0</v>
      </c>
      <c r="K26" s="20">
        <f t="shared" si="1"/>
        <v>129658.98000000001</v>
      </c>
    </row>
    <row r="27" spans="2:13" ht="18.75" x14ac:dyDescent="0.3">
      <c r="B27" s="44">
        <v>44353</v>
      </c>
      <c r="C27" s="33" t="s">
        <v>466</v>
      </c>
      <c r="D27" s="34"/>
      <c r="E27" s="34"/>
      <c r="F27" s="34"/>
      <c r="G27" s="34"/>
      <c r="H27" s="18">
        <v>200</v>
      </c>
      <c r="I27" s="19"/>
      <c r="J27" s="20">
        <f t="shared" si="0"/>
        <v>0</v>
      </c>
      <c r="K27" s="20">
        <f t="shared" si="1"/>
        <v>129458.98000000001</v>
      </c>
    </row>
    <row r="28" spans="2:13" ht="18.75" x14ac:dyDescent="0.3">
      <c r="B28" s="44">
        <v>44353</v>
      </c>
      <c r="C28" s="33" t="s">
        <v>459</v>
      </c>
      <c r="D28" s="34"/>
      <c r="E28" s="34"/>
      <c r="F28" s="34"/>
      <c r="G28" s="34"/>
      <c r="H28" s="18">
        <v>250</v>
      </c>
      <c r="I28" s="19"/>
      <c r="J28" s="20">
        <f t="shared" si="0"/>
        <v>0</v>
      </c>
      <c r="K28" s="20">
        <f t="shared" si="1"/>
        <v>129208.98000000001</v>
      </c>
    </row>
    <row r="29" spans="2:13" ht="18.75" x14ac:dyDescent="0.3">
      <c r="B29" s="42">
        <v>44353</v>
      </c>
      <c r="C29" s="33" t="s">
        <v>43</v>
      </c>
      <c r="D29" s="34">
        <v>45900</v>
      </c>
      <c r="E29" s="18"/>
      <c r="F29" s="18"/>
      <c r="G29" s="18"/>
      <c r="H29" s="18"/>
      <c r="I29" s="19"/>
      <c r="J29" s="20">
        <f t="shared" si="0"/>
        <v>0</v>
      </c>
      <c r="K29" s="20">
        <f t="shared" si="1"/>
        <v>175108.98</v>
      </c>
      <c r="M29">
        <v>13000</v>
      </c>
    </row>
    <row r="30" spans="2:13" ht="18.75" x14ac:dyDescent="0.3">
      <c r="B30" s="42">
        <v>44354</v>
      </c>
      <c r="C30" s="43" t="s">
        <v>467</v>
      </c>
      <c r="D30" s="34"/>
      <c r="E30" s="18"/>
      <c r="F30" s="18"/>
      <c r="G30" s="18"/>
      <c r="H30" s="18">
        <v>22</v>
      </c>
      <c r="I30" s="19"/>
      <c r="J30" s="20">
        <f t="shared" si="0"/>
        <v>0</v>
      </c>
      <c r="K30" s="20">
        <f t="shared" si="1"/>
        <v>175086.98</v>
      </c>
      <c r="M30">
        <v>2379.91</v>
      </c>
    </row>
    <row r="31" spans="2:13" ht="18.75" x14ac:dyDescent="0.3">
      <c r="B31" s="42">
        <v>44354</v>
      </c>
      <c r="C31" s="33" t="s">
        <v>467</v>
      </c>
      <c r="D31" s="34"/>
      <c r="E31" s="18"/>
      <c r="F31" s="18"/>
      <c r="G31" s="18"/>
      <c r="H31" s="18">
        <v>70</v>
      </c>
      <c r="I31" s="19"/>
      <c r="J31" s="20">
        <f t="shared" si="0"/>
        <v>0</v>
      </c>
      <c r="K31" s="20">
        <f t="shared" si="1"/>
        <v>175016.98</v>
      </c>
      <c r="M31">
        <f>SUM(M29:M30)</f>
        <v>15379.91</v>
      </c>
    </row>
    <row r="32" spans="2:13" ht="18.75" x14ac:dyDescent="0.3">
      <c r="B32" s="42">
        <v>44354</v>
      </c>
      <c r="C32" s="33" t="s">
        <v>432</v>
      </c>
      <c r="D32" s="34"/>
      <c r="E32" s="18"/>
      <c r="F32" s="18"/>
      <c r="G32" s="18"/>
      <c r="H32" s="18">
        <v>220.5</v>
      </c>
      <c r="I32" s="19"/>
      <c r="J32" s="20">
        <f t="shared" si="0"/>
        <v>0</v>
      </c>
      <c r="K32" s="20">
        <f t="shared" si="1"/>
        <v>174796.48</v>
      </c>
    </row>
    <row r="33" spans="2:11" ht="18.75" x14ac:dyDescent="0.3">
      <c r="B33" s="42">
        <v>44354</v>
      </c>
      <c r="C33" s="33" t="s">
        <v>432</v>
      </c>
      <c r="D33" s="34"/>
      <c r="E33" s="18"/>
      <c r="F33" s="18"/>
      <c r="G33" s="18"/>
      <c r="H33" s="18">
        <v>12.75</v>
      </c>
      <c r="I33" s="19"/>
      <c r="J33" s="20">
        <f t="shared" si="0"/>
        <v>0</v>
      </c>
      <c r="K33" s="20">
        <f t="shared" si="1"/>
        <v>174783.73</v>
      </c>
    </row>
    <row r="34" spans="2:11" ht="18.75" x14ac:dyDescent="0.3">
      <c r="B34" s="49">
        <v>44354</v>
      </c>
      <c r="C34" s="51" t="s">
        <v>432</v>
      </c>
      <c r="D34" s="34"/>
      <c r="E34" s="18"/>
      <c r="F34" s="18"/>
      <c r="G34" s="18"/>
      <c r="H34" s="18">
        <v>85.35</v>
      </c>
      <c r="I34" s="19"/>
      <c r="J34" s="20">
        <f t="shared" si="0"/>
        <v>0</v>
      </c>
      <c r="K34" s="20">
        <f t="shared" si="1"/>
        <v>174698.38</v>
      </c>
    </row>
    <row r="35" spans="2:11" ht="18.75" x14ac:dyDescent="0.3">
      <c r="B35" s="42">
        <v>44354</v>
      </c>
      <c r="C35" s="33" t="s">
        <v>468</v>
      </c>
      <c r="D35" s="34"/>
      <c r="E35" s="18"/>
      <c r="F35" s="18"/>
      <c r="G35" s="18"/>
      <c r="H35" s="18">
        <v>84</v>
      </c>
      <c r="I35" s="19"/>
      <c r="J35" s="20">
        <f t="shared" si="0"/>
        <v>0</v>
      </c>
      <c r="K35" s="20">
        <f t="shared" si="1"/>
        <v>174614.38</v>
      </c>
    </row>
    <row r="36" spans="2:11" ht="18.75" x14ac:dyDescent="0.3">
      <c r="B36" s="57">
        <v>44354</v>
      </c>
      <c r="C36" s="43" t="s">
        <v>469</v>
      </c>
      <c r="D36" s="34"/>
      <c r="E36" s="18"/>
      <c r="F36" s="18"/>
      <c r="G36" s="18"/>
      <c r="H36" s="18">
        <v>300</v>
      </c>
      <c r="I36" s="19"/>
      <c r="J36" s="20">
        <f t="shared" si="0"/>
        <v>0</v>
      </c>
      <c r="K36" s="20">
        <f t="shared" si="1"/>
        <v>174314.38</v>
      </c>
    </row>
    <row r="37" spans="2:11" ht="18.75" x14ac:dyDescent="0.3">
      <c r="B37" s="42">
        <v>44354</v>
      </c>
      <c r="C37" s="56" t="s">
        <v>475</v>
      </c>
      <c r="D37" s="34"/>
      <c r="E37" s="18"/>
      <c r="F37" s="18"/>
      <c r="G37" s="18"/>
      <c r="H37" s="18">
        <v>224.2</v>
      </c>
      <c r="I37" s="19"/>
      <c r="J37" s="20">
        <f t="shared" si="0"/>
        <v>0</v>
      </c>
      <c r="K37" s="20">
        <f t="shared" si="1"/>
        <v>174090.18</v>
      </c>
    </row>
    <row r="38" spans="2:11" ht="18.75" x14ac:dyDescent="0.3">
      <c r="B38" s="42">
        <v>44355</v>
      </c>
      <c r="C38" s="56" t="s">
        <v>455</v>
      </c>
      <c r="D38" s="34"/>
      <c r="E38" s="18"/>
      <c r="F38" s="18"/>
      <c r="G38" s="18"/>
      <c r="H38" s="18">
        <v>350</v>
      </c>
      <c r="I38" s="19"/>
      <c r="J38" s="20">
        <f t="shared" si="0"/>
        <v>0</v>
      </c>
      <c r="K38" s="20">
        <f t="shared" si="1"/>
        <v>173740.18</v>
      </c>
    </row>
    <row r="39" spans="2:11" ht="18.75" x14ac:dyDescent="0.3">
      <c r="B39" s="47">
        <v>44355</v>
      </c>
      <c r="C39" s="33" t="s">
        <v>470</v>
      </c>
      <c r="D39" s="34"/>
      <c r="E39" s="18"/>
      <c r="F39" s="18"/>
      <c r="G39" s="18"/>
      <c r="H39" s="18">
        <v>177.6</v>
      </c>
      <c r="I39" s="19"/>
      <c r="J39" s="20">
        <f t="shared" si="0"/>
        <v>0</v>
      </c>
      <c r="K39" s="20">
        <f t="shared" si="1"/>
        <v>173562.58</v>
      </c>
    </row>
    <row r="40" spans="2:11" ht="18.75" x14ac:dyDescent="0.3">
      <c r="B40" s="42">
        <v>44355</v>
      </c>
      <c r="C40" s="33" t="s">
        <v>471</v>
      </c>
      <c r="D40" s="34"/>
      <c r="E40" s="18"/>
      <c r="F40" s="18"/>
      <c r="G40" s="18"/>
      <c r="H40" s="18">
        <v>125.9</v>
      </c>
      <c r="I40" s="19"/>
      <c r="J40" s="20">
        <f t="shared" si="0"/>
        <v>0</v>
      </c>
      <c r="K40" s="20">
        <f t="shared" si="1"/>
        <v>173436.68</v>
      </c>
    </row>
    <row r="41" spans="2:11" ht="18.75" x14ac:dyDescent="0.3">
      <c r="B41" s="47">
        <v>44356</v>
      </c>
      <c r="C41" s="33" t="s">
        <v>476</v>
      </c>
      <c r="D41" s="34"/>
      <c r="E41" s="18"/>
      <c r="F41" s="18"/>
      <c r="G41" s="18"/>
      <c r="H41" s="18">
        <v>46</v>
      </c>
      <c r="I41" s="19"/>
      <c r="J41" s="20">
        <f t="shared" si="0"/>
        <v>0</v>
      </c>
      <c r="K41" s="20">
        <f t="shared" si="1"/>
        <v>173390.68</v>
      </c>
    </row>
    <row r="42" spans="2:11" ht="18.75" x14ac:dyDescent="0.3">
      <c r="B42" s="42">
        <v>44356</v>
      </c>
      <c r="C42" s="33" t="s">
        <v>476</v>
      </c>
      <c r="D42" s="34"/>
      <c r="E42" s="18"/>
      <c r="F42" s="18"/>
      <c r="G42" s="18"/>
      <c r="H42" s="18">
        <v>41</v>
      </c>
      <c r="I42" s="19"/>
      <c r="J42" s="20">
        <f t="shared" si="0"/>
        <v>0</v>
      </c>
      <c r="K42" s="20">
        <f t="shared" si="1"/>
        <v>173349.68</v>
      </c>
    </row>
    <row r="43" spans="2:11" ht="18.75" x14ac:dyDescent="0.3">
      <c r="B43" s="45">
        <v>44356</v>
      </c>
      <c r="C43" s="32" t="s">
        <v>474</v>
      </c>
      <c r="D43" s="34"/>
      <c r="E43" s="18"/>
      <c r="F43" s="18"/>
      <c r="G43" s="18"/>
      <c r="H43" s="18">
        <v>57500</v>
      </c>
      <c r="I43" s="19"/>
      <c r="J43" s="20">
        <f t="shared" si="0"/>
        <v>0</v>
      </c>
      <c r="K43" s="20">
        <f t="shared" si="1"/>
        <v>115849.68</v>
      </c>
    </row>
    <row r="44" spans="2:11" ht="18.75" x14ac:dyDescent="0.3">
      <c r="B44" s="44">
        <v>44356</v>
      </c>
      <c r="C44" s="33" t="s">
        <v>472</v>
      </c>
      <c r="D44" s="34"/>
      <c r="E44" s="18"/>
      <c r="F44" s="18"/>
      <c r="G44" s="18"/>
      <c r="H44" s="18">
        <v>120</v>
      </c>
      <c r="I44" s="19"/>
      <c r="J44" s="20">
        <f t="shared" si="0"/>
        <v>0</v>
      </c>
      <c r="K44" s="20">
        <f t="shared" si="1"/>
        <v>115729.68</v>
      </c>
    </row>
    <row r="45" spans="2:11" ht="18.75" x14ac:dyDescent="0.3">
      <c r="B45" s="42">
        <v>44356</v>
      </c>
      <c r="C45" s="33" t="s">
        <v>455</v>
      </c>
      <c r="D45" s="34"/>
      <c r="E45" s="18"/>
      <c r="F45" s="18"/>
      <c r="G45" s="18"/>
      <c r="H45" s="18">
        <v>700</v>
      </c>
      <c r="I45" s="19"/>
      <c r="J45" s="20">
        <f t="shared" si="0"/>
        <v>0</v>
      </c>
      <c r="K45" s="20">
        <f t="shared" si="1"/>
        <v>115029.68</v>
      </c>
    </row>
    <row r="46" spans="2:11" ht="18.75" x14ac:dyDescent="0.3">
      <c r="B46" s="42">
        <v>44356</v>
      </c>
      <c r="C46" s="33" t="s">
        <v>522</v>
      </c>
      <c r="D46" s="34"/>
      <c r="E46" s="18"/>
      <c r="F46" s="18"/>
      <c r="G46" s="18"/>
      <c r="H46" s="18">
        <v>5000</v>
      </c>
      <c r="I46" s="19"/>
      <c r="J46" s="20">
        <f t="shared" si="0"/>
        <v>0</v>
      </c>
      <c r="K46" s="20">
        <f t="shared" si="1"/>
        <v>110029.68</v>
      </c>
    </row>
    <row r="47" spans="2:11" ht="19.5" thickBot="1" x14ac:dyDescent="0.35">
      <c r="B47" s="42">
        <v>44356</v>
      </c>
      <c r="C47" s="33" t="s">
        <v>432</v>
      </c>
      <c r="D47" s="34"/>
      <c r="E47" s="18"/>
      <c r="F47" s="18"/>
      <c r="G47" s="18"/>
      <c r="H47" s="18">
        <v>47</v>
      </c>
      <c r="I47" s="19"/>
      <c r="J47" s="86">
        <f>+J41+E47-G47</f>
        <v>0</v>
      </c>
      <c r="K47" s="86">
        <f>+K46+D47-H47</f>
        <v>109982.68</v>
      </c>
    </row>
    <row r="48" spans="2:11" ht="19.5" thickBot="1" x14ac:dyDescent="0.35">
      <c r="B48" s="25"/>
      <c r="C48" s="26" t="s">
        <v>0</v>
      </c>
      <c r="D48" s="27">
        <f>SUM(D5:D47)</f>
        <v>45900</v>
      </c>
      <c r="E48" s="28">
        <f>SUM(E5:E47)</f>
        <v>0</v>
      </c>
      <c r="F48" s="29">
        <f>SUM(D48:E48)</f>
        <v>45900</v>
      </c>
      <c r="G48" s="30">
        <f>SUM(G5:G47)</f>
        <v>0</v>
      </c>
      <c r="H48" s="27">
        <f>SUM(H5:H47)</f>
        <v>73614.23</v>
      </c>
      <c r="I48" s="29">
        <f>SUM(G48:H48)</f>
        <v>73614.23</v>
      </c>
      <c r="J48" s="90"/>
      <c r="K48" s="89"/>
    </row>
    <row r="49" spans="2:13" ht="18.75" x14ac:dyDescent="0.3">
      <c r="B49" s="7" t="s">
        <v>1</v>
      </c>
      <c r="C49" s="7" t="s">
        <v>2</v>
      </c>
      <c r="D49" s="7" t="s">
        <v>3</v>
      </c>
      <c r="E49" s="7" t="s">
        <v>3</v>
      </c>
      <c r="F49" s="7" t="s">
        <v>8</v>
      </c>
      <c r="G49" s="7" t="s">
        <v>9</v>
      </c>
      <c r="H49" s="8" t="s">
        <v>9</v>
      </c>
      <c r="I49" s="8" t="s">
        <v>8</v>
      </c>
      <c r="J49" s="7" t="s">
        <v>7</v>
      </c>
      <c r="K49" s="8" t="s">
        <v>6</v>
      </c>
    </row>
    <row r="50" spans="2:13" ht="19.5" thickBot="1" x14ac:dyDescent="0.35">
      <c r="B50" s="9"/>
      <c r="C50" s="9"/>
      <c r="D50" s="9" t="s">
        <v>5</v>
      </c>
      <c r="E50" s="9" t="s">
        <v>7</v>
      </c>
      <c r="F50" s="9" t="s">
        <v>3</v>
      </c>
      <c r="G50" s="9" t="s">
        <v>7</v>
      </c>
      <c r="H50" s="10" t="s">
        <v>5</v>
      </c>
      <c r="I50" s="10" t="s">
        <v>4</v>
      </c>
      <c r="J50" s="9"/>
      <c r="K50" s="10"/>
    </row>
    <row r="51" spans="2:13" ht="19.5" thickBot="1" x14ac:dyDescent="0.35">
      <c r="B51" s="25"/>
      <c r="C51" s="26"/>
      <c r="D51" s="27">
        <v>45900</v>
      </c>
      <c r="E51" s="28">
        <v>0</v>
      </c>
      <c r="F51" s="29">
        <f>SUM(D51:E51)</f>
        <v>45900</v>
      </c>
      <c r="G51" s="30">
        <v>0</v>
      </c>
      <c r="H51" s="27">
        <v>73614.23</v>
      </c>
      <c r="I51" s="29">
        <f>SUM(G51:H51)</f>
        <v>73614.23</v>
      </c>
      <c r="J51" s="31">
        <v>0</v>
      </c>
      <c r="K51" s="31">
        <v>0</v>
      </c>
    </row>
    <row r="52" spans="2:13" ht="18.75" x14ac:dyDescent="0.3">
      <c r="B52" s="42"/>
      <c r="C52" s="33"/>
      <c r="D52" s="34"/>
      <c r="E52" s="18"/>
      <c r="F52" s="18"/>
      <c r="G52" s="18"/>
      <c r="H52" s="18"/>
      <c r="I52" s="19"/>
      <c r="J52" s="86">
        <f>+J46+E52-G52</f>
        <v>0</v>
      </c>
      <c r="K52" s="86">
        <f>+K47+D52-H52</f>
        <v>109982.68</v>
      </c>
    </row>
    <row r="53" spans="2:13" ht="18.75" x14ac:dyDescent="0.3">
      <c r="B53" s="42">
        <v>44449</v>
      </c>
      <c r="C53" s="54" t="s">
        <v>477</v>
      </c>
      <c r="D53" s="34"/>
      <c r="E53" s="18"/>
      <c r="F53" s="18"/>
      <c r="G53" s="18"/>
      <c r="H53" s="18">
        <v>350</v>
      </c>
      <c r="I53" s="19"/>
      <c r="J53" s="20">
        <f>+J52+E53-G53</f>
        <v>0</v>
      </c>
      <c r="K53" s="20">
        <f>+K52+D53-H53</f>
        <v>109632.68</v>
      </c>
    </row>
    <row r="54" spans="2:13" ht="18.75" x14ac:dyDescent="0.3">
      <c r="B54" s="42">
        <v>44357</v>
      </c>
      <c r="C54" s="33" t="s">
        <v>478</v>
      </c>
      <c r="D54" s="34"/>
      <c r="E54" s="18"/>
      <c r="F54" s="18"/>
      <c r="G54" s="18"/>
      <c r="H54" s="18">
        <v>790</v>
      </c>
      <c r="I54" s="19"/>
      <c r="J54" s="20">
        <f t="shared" ref="J54:J95" si="2">+J53+E54-G54</f>
        <v>0</v>
      </c>
      <c r="K54" s="20">
        <f t="shared" ref="K54:K95" si="3">+K53+D54-H54</f>
        <v>108842.68</v>
      </c>
    </row>
    <row r="55" spans="2:13" ht="18.75" x14ac:dyDescent="0.3">
      <c r="B55" s="42">
        <v>44357</v>
      </c>
      <c r="C55" s="54" t="s">
        <v>396</v>
      </c>
      <c r="D55" s="34"/>
      <c r="E55" s="18"/>
      <c r="F55" s="18"/>
      <c r="G55" s="18"/>
      <c r="H55" s="18">
        <v>1785</v>
      </c>
      <c r="I55" s="19"/>
      <c r="J55" s="20">
        <f t="shared" si="2"/>
        <v>0</v>
      </c>
      <c r="K55" s="20">
        <f t="shared" si="3"/>
        <v>107057.68</v>
      </c>
    </row>
    <row r="56" spans="2:13" ht="18.75" x14ac:dyDescent="0.3">
      <c r="B56" s="49">
        <v>44357</v>
      </c>
      <c r="C56" s="43" t="s">
        <v>448</v>
      </c>
      <c r="D56" s="34"/>
      <c r="E56" s="18"/>
      <c r="F56" s="18"/>
      <c r="G56" s="18"/>
      <c r="H56" s="18">
        <v>3000</v>
      </c>
      <c r="I56" s="19"/>
      <c r="J56" s="20">
        <f t="shared" si="2"/>
        <v>0</v>
      </c>
      <c r="K56" s="20">
        <f t="shared" si="3"/>
        <v>104057.68</v>
      </c>
    </row>
    <row r="57" spans="2:13" ht="18.75" x14ac:dyDescent="0.3">
      <c r="B57" s="42">
        <v>44358</v>
      </c>
      <c r="C57" s="33" t="s">
        <v>476</v>
      </c>
      <c r="D57" s="34"/>
      <c r="E57" s="34"/>
      <c r="F57" s="34"/>
      <c r="G57" s="34"/>
      <c r="H57" s="18">
        <v>77</v>
      </c>
      <c r="I57" s="19"/>
      <c r="J57" s="20">
        <f t="shared" si="2"/>
        <v>0</v>
      </c>
      <c r="K57" s="20">
        <f t="shared" si="3"/>
        <v>103980.68</v>
      </c>
    </row>
    <row r="58" spans="2:13" ht="18.75" x14ac:dyDescent="0.3">
      <c r="B58" s="47">
        <v>44358</v>
      </c>
      <c r="C58" s="33" t="s">
        <v>476</v>
      </c>
      <c r="D58" s="34"/>
      <c r="E58" s="34"/>
      <c r="F58" s="34"/>
      <c r="G58" s="18"/>
      <c r="H58" s="18">
        <v>36</v>
      </c>
      <c r="I58" s="19"/>
      <c r="J58" s="20">
        <f t="shared" si="2"/>
        <v>0</v>
      </c>
      <c r="K58" s="20">
        <f t="shared" si="3"/>
        <v>103944.68</v>
      </c>
    </row>
    <row r="59" spans="2:13" ht="18.75" x14ac:dyDescent="0.3">
      <c r="B59" s="47">
        <v>44358</v>
      </c>
      <c r="C59" s="33" t="s">
        <v>479</v>
      </c>
      <c r="D59" s="34"/>
      <c r="E59" s="34"/>
      <c r="F59" s="34"/>
      <c r="G59" s="34"/>
      <c r="H59" s="18">
        <v>600</v>
      </c>
      <c r="I59" s="19"/>
      <c r="J59" s="20">
        <f t="shared" si="2"/>
        <v>0</v>
      </c>
      <c r="K59" s="20">
        <f t="shared" si="3"/>
        <v>103344.68</v>
      </c>
    </row>
    <row r="60" spans="2:13" ht="18.75" x14ac:dyDescent="0.3">
      <c r="B60" s="47">
        <v>44358</v>
      </c>
      <c r="C60" s="33" t="s">
        <v>459</v>
      </c>
      <c r="D60" s="34"/>
      <c r="E60" s="34"/>
      <c r="F60" s="34"/>
      <c r="G60" s="34"/>
      <c r="H60" s="18">
        <v>200</v>
      </c>
      <c r="I60" s="19"/>
      <c r="J60" s="20">
        <f t="shared" si="2"/>
        <v>0</v>
      </c>
      <c r="K60" s="20">
        <f t="shared" si="3"/>
        <v>103144.68</v>
      </c>
    </row>
    <row r="61" spans="2:13" ht="18.75" x14ac:dyDescent="0.3">
      <c r="B61" s="47">
        <v>44359</v>
      </c>
      <c r="C61" s="33" t="s">
        <v>455</v>
      </c>
      <c r="D61" s="34"/>
      <c r="E61" s="34"/>
      <c r="F61" s="34"/>
      <c r="G61" s="34"/>
      <c r="H61" s="18">
        <v>600</v>
      </c>
      <c r="I61" s="19"/>
      <c r="J61" s="20">
        <f t="shared" si="2"/>
        <v>0</v>
      </c>
      <c r="K61" s="20">
        <f t="shared" si="3"/>
        <v>102544.68</v>
      </c>
    </row>
    <row r="62" spans="2:13" ht="18.75" x14ac:dyDescent="0.3">
      <c r="B62" s="22">
        <v>44359</v>
      </c>
      <c r="C62" s="21" t="s">
        <v>480</v>
      </c>
      <c r="D62" s="18"/>
      <c r="E62" s="18"/>
      <c r="F62" s="18"/>
      <c r="G62" s="18"/>
      <c r="H62" s="18">
        <v>10</v>
      </c>
      <c r="I62" s="19"/>
      <c r="J62" s="20">
        <f t="shared" si="2"/>
        <v>0</v>
      </c>
      <c r="K62" s="20">
        <f t="shared" si="3"/>
        <v>102534.68</v>
      </c>
    </row>
    <row r="63" spans="2:13" ht="18.75" x14ac:dyDescent="0.3">
      <c r="B63" s="42">
        <v>44359</v>
      </c>
      <c r="C63" s="43" t="s">
        <v>463</v>
      </c>
      <c r="D63" s="18"/>
      <c r="E63" s="18"/>
      <c r="F63" s="18"/>
      <c r="G63" s="18"/>
      <c r="H63" s="18">
        <v>76.48</v>
      </c>
      <c r="I63" s="19"/>
      <c r="J63" s="20">
        <f t="shared" si="2"/>
        <v>0</v>
      </c>
      <c r="K63" s="20">
        <f t="shared" si="3"/>
        <v>102458.2</v>
      </c>
      <c r="M63">
        <v>250</v>
      </c>
    </row>
    <row r="64" spans="2:13" ht="18.75" x14ac:dyDescent="0.3">
      <c r="B64" s="22">
        <v>44359</v>
      </c>
      <c r="C64" s="41" t="s">
        <v>481</v>
      </c>
      <c r="D64" s="34"/>
      <c r="E64" s="18"/>
      <c r="F64" s="18"/>
      <c r="G64" s="18"/>
      <c r="H64" s="18">
        <v>46.49</v>
      </c>
      <c r="I64" s="19"/>
      <c r="J64" s="20">
        <f t="shared" si="2"/>
        <v>0</v>
      </c>
      <c r="K64" s="20">
        <f t="shared" si="3"/>
        <v>102411.70999999999</v>
      </c>
      <c r="M64">
        <v>300</v>
      </c>
    </row>
    <row r="65" spans="2:13" ht="18.75" x14ac:dyDescent="0.3">
      <c r="B65" s="42">
        <v>44360</v>
      </c>
      <c r="C65" s="33" t="s">
        <v>482</v>
      </c>
      <c r="D65" s="34"/>
      <c r="E65" s="18"/>
      <c r="F65" s="18"/>
      <c r="G65" s="18"/>
      <c r="H65" s="18">
        <v>100</v>
      </c>
      <c r="I65" s="19"/>
      <c r="J65" s="20">
        <f t="shared" si="2"/>
        <v>0</v>
      </c>
      <c r="K65" s="20">
        <f t="shared" si="3"/>
        <v>102311.70999999999</v>
      </c>
      <c r="M65">
        <v>650</v>
      </c>
    </row>
    <row r="66" spans="2:13" ht="18.75" x14ac:dyDescent="0.3">
      <c r="B66" s="42">
        <v>44360</v>
      </c>
      <c r="C66" s="33" t="s">
        <v>483</v>
      </c>
      <c r="D66" s="34"/>
      <c r="E66" s="18"/>
      <c r="F66" s="18"/>
      <c r="G66" s="18"/>
      <c r="H66" s="18">
        <v>200</v>
      </c>
      <c r="I66" s="19"/>
      <c r="J66" s="20">
        <f t="shared" si="2"/>
        <v>0</v>
      </c>
      <c r="K66" s="20">
        <f t="shared" si="3"/>
        <v>102111.70999999999</v>
      </c>
      <c r="M66">
        <v>3000</v>
      </c>
    </row>
    <row r="67" spans="2:13" ht="18.75" x14ac:dyDescent="0.3">
      <c r="B67" s="42">
        <v>44360</v>
      </c>
      <c r="C67" s="33" t="s">
        <v>484</v>
      </c>
      <c r="D67" s="34"/>
      <c r="E67" s="18"/>
      <c r="F67" s="18"/>
      <c r="G67" s="18"/>
      <c r="H67" s="18">
        <v>130</v>
      </c>
      <c r="I67" s="19"/>
      <c r="J67" s="20">
        <f t="shared" si="2"/>
        <v>0</v>
      </c>
      <c r="K67" s="20">
        <f t="shared" si="3"/>
        <v>101981.70999999999</v>
      </c>
    </row>
    <row r="68" spans="2:13" ht="18.75" x14ac:dyDescent="0.3">
      <c r="B68" s="42">
        <v>44360</v>
      </c>
      <c r="C68" s="43" t="s">
        <v>459</v>
      </c>
      <c r="D68" s="34"/>
      <c r="E68" s="34"/>
      <c r="F68" s="34"/>
      <c r="G68" s="34"/>
      <c r="H68" s="18">
        <v>250</v>
      </c>
      <c r="I68" s="19"/>
      <c r="J68" s="20">
        <f t="shared" si="2"/>
        <v>0</v>
      </c>
      <c r="K68" s="20">
        <f t="shared" si="3"/>
        <v>101731.70999999999</v>
      </c>
    </row>
    <row r="69" spans="2:13" ht="18.75" x14ac:dyDescent="0.3">
      <c r="B69" s="47">
        <v>44360</v>
      </c>
      <c r="C69" s="21" t="s">
        <v>455</v>
      </c>
      <c r="D69" s="34"/>
      <c r="E69" s="34"/>
      <c r="F69" s="34"/>
      <c r="G69" s="34"/>
      <c r="H69" s="18">
        <v>450</v>
      </c>
      <c r="I69" s="19"/>
      <c r="J69" s="20">
        <f t="shared" si="2"/>
        <v>0</v>
      </c>
      <c r="K69" s="20">
        <f t="shared" si="3"/>
        <v>101281.70999999999</v>
      </c>
    </row>
    <row r="70" spans="2:13" ht="18.75" x14ac:dyDescent="0.3">
      <c r="B70" s="42">
        <v>44360</v>
      </c>
      <c r="C70" s="33" t="s">
        <v>60</v>
      </c>
      <c r="D70" s="34">
        <v>23050</v>
      </c>
      <c r="E70" s="18"/>
      <c r="F70" s="18"/>
      <c r="G70" s="18"/>
      <c r="H70" s="18"/>
      <c r="I70" s="19"/>
      <c r="J70" s="20">
        <f t="shared" si="2"/>
        <v>0</v>
      </c>
      <c r="K70" s="20">
        <f t="shared" si="3"/>
        <v>124331.70999999999</v>
      </c>
    </row>
    <row r="71" spans="2:13" ht="18.75" x14ac:dyDescent="0.3">
      <c r="B71" s="42">
        <v>44362</v>
      </c>
      <c r="C71" s="33" t="s">
        <v>485</v>
      </c>
      <c r="D71" s="34"/>
      <c r="E71" s="18"/>
      <c r="F71" s="18"/>
      <c r="G71" s="18"/>
      <c r="H71" s="18">
        <v>862.76</v>
      </c>
      <c r="I71" s="19"/>
      <c r="J71" s="20">
        <f t="shared" si="2"/>
        <v>0</v>
      </c>
      <c r="K71" s="20">
        <f t="shared" si="3"/>
        <v>123468.95</v>
      </c>
    </row>
    <row r="72" spans="2:13" ht="18.75" x14ac:dyDescent="0.3">
      <c r="B72" s="42">
        <v>44362</v>
      </c>
      <c r="C72" s="33" t="s">
        <v>170</v>
      </c>
      <c r="D72" s="34"/>
      <c r="E72" s="18"/>
      <c r="F72" s="18"/>
      <c r="G72" s="18"/>
      <c r="H72" s="18">
        <v>250</v>
      </c>
      <c r="I72" s="19"/>
      <c r="J72" s="20">
        <f t="shared" si="2"/>
        <v>0</v>
      </c>
      <c r="K72" s="20">
        <f t="shared" si="3"/>
        <v>123218.95</v>
      </c>
      <c r="L72" s="1"/>
    </row>
    <row r="73" spans="2:13" ht="18.75" x14ac:dyDescent="0.3">
      <c r="B73" s="42">
        <v>44362</v>
      </c>
      <c r="C73" s="33" t="s">
        <v>171</v>
      </c>
      <c r="D73" s="34"/>
      <c r="E73" s="18"/>
      <c r="F73" s="18"/>
      <c r="G73" s="18"/>
      <c r="H73" s="18">
        <v>300</v>
      </c>
      <c r="I73" s="19"/>
      <c r="J73" s="20">
        <f t="shared" si="2"/>
        <v>0</v>
      </c>
      <c r="K73" s="20">
        <f t="shared" si="3"/>
        <v>122918.95</v>
      </c>
    </row>
    <row r="74" spans="2:13" ht="18.75" x14ac:dyDescent="0.3">
      <c r="B74" s="42">
        <v>44362</v>
      </c>
      <c r="C74" s="33" t="s">
        <v>172</v>
      </c>
      <c r="D74" s="34"/>
      <c r="E74" s="34"/>
      <c r="F74" s="34"/>
      <c r="G74" s="34"/>
      <c r="H74" s="18">
        <v>650</v>
      </c>
      <c r="I74" s="19"/>
      <c r="J74" s="20">
        <f t="shared" si="2"/>
        <v>0</v>
      </c>
      <c r="K74" s="20">
        <f t="shared" si="3"/>
        <v>122268.95</v>
      </c>
    </row>
    <row r="75" spans="2:13" ht="18.75" x14ac:dyDescent="0.3">
      <c r="B75" s="42">
        <v>44362</v>
      </c>
      <c r="C75" s="33" t="s">
        <v>486</v>
      </c>
      <c r="D75" s="34"/>
      <c r="E75" s="18"/>
      <c r="F75" s="18"/>
      <c r="G75" s="18"/>
      <c r="H75" s="18">
        <v>84</v>
      </c>
      <c r="I75" s="19"/>
      <c r="J75" s="20">
        <f t="shared" si="2"/>
        <v>0</v>
      </c>
      <c r="K75" s="20">
        <f t="shared" si="3"/>
        <v>122184.95</v>
      </c>
    </row>
    <row r="76" spans="2:13" ht="18.75" x14ac:dyDescent="0.3">
      <c r="B76" s="42">
        <v>44362</v>
      </c>
      <c r="C76" s="43" t="s">
        <v>230</v>
      </c>
      <c r="D76" s="34"/>
      <c r="E76" s="34"/>
      <c r="F76" s="34"/>
      <c r="G76" s="34"/>
      <c r="H76" s="18">
        <v>3000</v>
      </c>
      <c r="I76" s="19"/>
      <c r="J76" s="20">
        <f t="shared" si="2"/>
        <v>0</v>
      </c>
      <c r="K76" s="20">
        <f t="shared" si="3"/>
        <v>119184.95</v>
      </c>
    </row>
    <row r="77" spans="2:13" ht="18.75" x14ac:dyDescent="0.3">
      <c r="B77" s="47">
        <v>44362</v>
      </c>
      <c r="C77" s="21" t="s">
        <v>231</v>
      </c>
      <c r="D77" s="34"/>
      <c r="E77" s="34"/>
      <c r="F77" s="34"/>
      <c r="G77" s="34"/>
      <c r="H77" s="18">
        <v>3400</v>
      </c>
      <c r="I77" s="19"/>
      <c r="J77" s="20">
        <f t="shared" si="2"/>
        <v>0</v>
      </c>
      <c r="K77" s="20">
        <f t="shared" si="3"/>
        <v>115784.95</v>
      </c>
    </row>
    <row r="78" spans="2:13" ht="18.75" x14ac:dyDescent="0.3">
      <c r="B78" s="47">
        <v>44362</v>
      </c>
      <c r="C78" s="54" t="s">
        <v>81</v>
      </c>
      <c r="D78" s="34"/>
      <c r="E78" s="34"/>
      <c r="F78" s="34"/>
      <c r="G78" s="34"/>
      <c r="H78" s="18">
        <v>5000</v>
      </c>
      <c r="I78" s="19"/>
      <c r="J78" s="20">
        <f t="shared" si="2"/>
        <v>0</v>
      </c>
      <c r="K78" s="20">
        <f t="shared" si="3"/>
        <v>110784.95</v>
      </c>
    </row>
    <row r="79" spans="2:13" ht="18.75" x14ac:dyDescent="0.3">
      <c r="B79" s="22">
        <v>44362</v>
      </c>
      <c r="C79" s="43" t="s">
        <v>448</v>
      </c>
      <c r="D79" s="18"/>
      <c r="E79" s="18"/>
      <c r="F79" s="18"/>
      <c r="G79" s="18"/>
      <c r="H79" s="18">
        <v>6000</v>
      </c>
      <c r="I79" s="19"/>
      <c r="J79" s="20">
        <f t="shared" si="2"/>
        <v>0</v>
      </c>
      <c r="K79" s="20">
        <f t="shared" si="3"/>
        <v>104784.95</v>
      </c>
    </row>
    <row r="80" spans="2:13" ht="18.75" x14ac:dyDescent="0.3">
      <c r="B80" s="42">
        <v>44362</v>
      </c>
      <c r="C80" s="43" t="s">
        <v>83</v>
      </c>
      <c r="D80" s="18"/>
      <c r="E80" s="18"/>
      <c r="F80" s="18"/>
      <c r="G80" s="18"/>
      <c r="H80" s="18">
        <v>29250</v>
      </c>
      <c r="I80" s="19"/>
      <c r="J80" s="20">
        <f t="shared" si="2"/>
        <v>0</v>
      </c>
      <c r="K80" s="20">
        <f t="shared" si="3"/>
        <v>75534.95</v>
      </c>
    </row>
    <row r="81" spans="2:11" ht="18.75" x14ac:dyDescent="0.3">
      <c r="B81" s="44">
        <v>44362</v>
      </c>
      <c r="C81" s="43" t="s">
        <v>84</v>
      </c>
      <c r="D81" s="34"/>
      <c r="E81" s="18"/>
      <c r="F81" s="18"/>
      <c r="G81" s="18"/>
      <c r="H81" s="18">
        <v>5650</v>
      </c>
      <c r="I81" s="19"/>
      <c r="J81" s="20">
        <f t="shared" si="2"/>
        <v>0</v>
      </c>
      <c r="K81" s="20">
        <f t="shared" si="3"/>
        <v>69884.95</v>
      </c>
    </row>
    <row r="82" spans="2:11" ht="18.75" x14ac:dyDescent="0.3">
      <c r="B82" s="42">
        <v>44363</v>
      </c>
      <c r="C82" s="43" t="s">
        <v>457</v>
      </c>
      <c r="D82" s="18"/>
      <c r="E82" s="18"/>
      <c r="F82" s="18"/>
      <c r="G82" s="18"/>
      <c r="H82" s="18">
        <v>300</v>
      </c>
      <c r="I82" s="19"/>
      <c r="J82" s="20">
        <f t="shared" si="2"/>
        <v>0</v>
      </c>
      <c r="K82" s="20">
        <f t="shared" si="3"/>
        <v>69584.95</v>
      </c>
    </row>
    <row r="83" spans="2:11" ht="18.75" x14ac:dyDescent="0.3">
      <c r="B83" s="44">
        <v>44363</v>
      </c>
      <c r="C83" s="43" t="s">
        <v>457</v>
      </c>
      <c r="D83" s="34"/>
      <c r="E83" s="18"/>
      <c r="F83" s="18"/>
      <c r="G83" s="18"/>
      <c r="H83" s="18">
        <v>242.18</v>
      </c>
      <c r="I83" s="19"/>
      <c r="J83" s="20">
        <f t="shared" si="2"/>
        <v>0</v>
      </c>
      <c r="K83" s="20">
        <f t="shared" si="3"/>
        <v>69342.77</v>
      </c>
    </row>
    <row r="84" spans="2:11" ht="18.75" x14ac:dyDescent="0.3">
      <c r="B84" s="22">
        <v>44363</v>
      </c>
      <c r="C84" s="91" t="s">
        <v>458</v>
      </c>
      <c r="D84" s="34"/>
      <c r="E84" s="18"/>
      <c r="F84" s="18"/>
      <c r="G84" s="18"/>
      <c r="H84" s="18">
        <v>80</v>
      </c>
      <c r="I84" s="19"/>
      <c r="J84" s="20">
        <f t="shared" si="2"/>
        <v>0</v>
      </c>
      <c r="K84" s="20">
        <f t="shared" si="3"/>
        <v>69262.77</v>
      </c>
    </row>
    <row r="85" spans="2:11" ht="18.75" x14ac:dyDescent="0.3">
      <c r="B85" s="22">
        <v>44363</v>
      </c>
      <c r="C85" s="21" t="s">
        <v>432</v>
      </c>
      <c r="D85" s="34"/>
      <c r="E85" s="18"/>
      <c r="F85" s="18"/>
      <c r="G85" s="18"/>
      <c r="H85" s="18">
        <v>188</v>
      </c>
      <c r="I85" s="19"/>
      <c r="J85" s="20">
        <f t="shared" si="2"/>
        <v>0</v>
      </c>
      <c r="K85" s="20">
        <f t="shared" si="3"/>
        <v>69074.77</v>
      </c>
    </row>
    <row r="86" spans="2:11" ht="18.75" x14ac:dyDescent="0.3">
      <c r="B86" s="22">
        <v>44363</v>
      </c>
      <c r="C86" s="21" t="s">
        <v>487</v>
      </c>
      <c r="D86" s="34"/>
      <c r="E86" s="18"/>
      <c r="F86" s="18"/>
      <c r="G86" s="18"/>
      <c r="H86" s="18">
        <v>300</v>
      </c>
      <c r="I86" s="19"/>
      <c r="J86" s="20">
        <f t="shared" si="2"/>
        <v>0</v>
      </c>
      <c r="K86" s="20">
        <f t="shared" si="3"/>
        <v>68774.77</v>
      </c>
    </row>
    <row r="87" spans="2:11" ht="18.75" x14ac:dyDescent="0.3">
      <c r="B87" s="22">
        <v>44363</v>
      </c>
      <c r="C87" s="21" t="s">
        <v>488</v>
      </c>
      <c r="D87" s="34"/>
      <c r="E87" s="18"/>
      <c r="F87" s="18"/>
      <c r="G87" s="18"/>
      <c r="H87" s="18">
        <v>150</v>
      </c>
      <c r="I87" s="19"/>
      <c r="J87" s="20">
        <f t="shared" si="2"/>
        <v>0</v>
      </c>
      <c r="K87" s="20">
        <f t="shared" si="3"/>
        <v>68624.77</v>
      </c>
    </row>
    <row r="88" spans="2:11" ht="18.75" x14ac:dyDescent="0.3">
      <c r="B88" s="22">
        <v>44363</v>
      </c>
      <c r="C88" s="21" t="s">
        <v>455</v>
      </c>
      <c r="D88" s="34"/>
      <c r="E88" s="18"/>
      <c r="F88" s="18"/>
      <c r="G88" s="18"/>
      <c r="H88" s="18">
        <v>600</v>
      </c>
      <c r="I88" s="19"/>
      <c r="J88" s="20">
        <f t="shared" si="2"/>
        <v>0</v>
      </c>
      <c r="K88" s="20">
        <f t="shared" si="3"/>
        <v>68024.77</v>
      </c>
    </row>
    <row r="89" spans="2:11" ht="18.75" x14ac:dyDescent="0.3">
      <c r="B89" s="22">
        <v>44363</v>
      </c>
      <c r="C89" s="21" t="s">
        <v>492</v>
      </c>
      <c r="D89" s="34"/>
      <c r="E89" s="18"/>
      <c r="F89" s="18"/>
      <c r="G89" s="18"/>
      <c r="H89" s="18">
        <v>3800</v>
      </c>
      <c r="I89" s="19"/>
      <c r="J89" s="20">
        <f t="shared" si="2"/>
        <v>0</v>
      </c>
      <c r="K89" s="20">
        <f t="shared" si="3"/>
        <v>64224.770000000004</v>
      </c>
    </row>
    <row r="90" spans="2:11" ht="18.75" x14ac:dyDescent="0.3">
      <c r="B90" s="22">
        <v>44364</v>
      </c>
      <c r="C90" s="21" t="s">
        <v>489</v>
      </c>
      <c r="D90" s="34"/>
      <c r="E90" s="34"/>
      <c r="F90" s="18"/>
      <c r="G90" s="18"/>
      <c r="H90" s="18">
        <v>700</v>
      </c>
      <c r="I90" s="19"/>
      <c r="J90" s="20">
        <f t="shared" si="2"/>
        <v>0</v>
      </c>
      <c r="K90" s="20">
        <f t="shared" si="3"/>
        <v>63524.770000000004</v>
      </c>
    </row>
    <row r="91" spans="2:11" ht="18.75" x14ac:dyDescent="0.3">
      <c r="B91" s="49">
        <v>44364</v>
      </c>
      <c r="C91" s="17" t="s">
        <v>455</v>
      </c>
      <c r="D91" s="50"/>
      <c r="E91" s="18"/>
      <c r="F91" s="18"/>
      <c r="G91" s="18"/>
      <c r="H91" s="18">
        <v>300</v>
      </c>
      <c r="I91" s="19"/>
      <c r="J91" s="20">
        <f t="shared" si="2"/>
        <v>0</v>
      </c>
      <c r="K91" s="20">
        <f t="shared" si="3"/>
        <v>63224.770000000004</v>
      </c>
    </row>
    <row r="92" spans="2:11" ht="18.75" x14ac:dyDescent="0.3">
      <c r="B92" s="49">
        <v>44364</v>
      </c>
      <c r="C92" s="21" t="s">
        <v>490</v>
      </c>
      <c r="D92" s="34"/>
      <c r="E92" s="18"/>
      <c r="F92" s="18"/>
      <c r="G92" s="18"/>
      <c r="H92" s="18">
        <v>300</v>
      </c>
      <c r="I92" s="19"/>
      <c r="J92" s="20">
        <f t="shared" si="2"/>
        <v>0</v>
      </c>
      <c r="K92" s="20">
        <f t="shared" si="3"/>
        <v>62924.770000000004</v>
      </c>
    </row>
    <row r="93" spans="2:11" ht="18.75" x14ac:dyDescent="0.3">
      <c r="B93" s="49">
        <v>44364</v>
      </c>
      <c r="C93" s="21" t="s">
        <v>491</v>
      </c>
      <c r="D93" s="34"/>
      <c r="E93" s="18"/>
      <c r="F93" s="18"/>
      <c r="G93" s="18"/>
      <c r="H93" s="18">
        <v>3360</v>
      </c>
      <c r="I93" s="19"/>
      <c r="J93" s="20">
        <f t="shared" si="2"/>
        <v>0</v>
      </c>
      <c r="K93" s="20">
        <f t="shared" si="3"/>
        <v>59564.770000000004</v>
      </c>
    </row>
    <row r="94" spans="2:11" ht="18.75" x14ac:dyDescent="0.3">
      <c r="B94" s="49">
        <v>44364</v>
      </c>
      <c r="C94" s="21" t="s">
        <v>493</v>
      </c>
      <c r="D94" s="34"/>
      <c r="E94" s="18"/>
      <c r="F94" s="34"/>
      <c r="G94" s="18"/>
      <c r="H94" s="18">
        <v>8.5</v>
      </c>
      <c r="I94" s="19"/>
      <c r="J94" s="20">
        <f t="shared" si="2"/>
        <v>0</v>
      </c>
      <c r="K94" s="20">
        <f t="shared" si="3"/>
        <v>59556.270000000004</v>
      </c>
    </row>
    <row r="95" spans="2:11" ht="19.5" thickBot="1" x14ac:dyDescent="0.35">
      <c r="B95" s="49">
        <v>44364</v>
      </c>
      <c r="C95" s="21" t="s">
        <v>488</v>
      </c>
      <c r="D95" s="34"/>
      <c r="E95" s="18"/>
      <c r="F95" s="34"/>
      <c r="G95" s="18"/>
      <c r="H95" s="18">
        <v>250</v>
      </c>
      <c r="I95" s="19"/>
      <c r="J95" s="20">
        <f t="shared" si="2"/>
        <v>0</v>
      </c>
      <c r="K95" s="20">
        <f t="shared" si="3"/>
        <v>59306.270000000004</v>
      </c>
    </row>
    <row r="96" spans="2:11" ht="19.5" thickBot="1" x14ac:dyDescent="0.35">
      <c r="B96" s="25"/>
      <c r="C96" s="26" t="s">
        <v>0</v>
      </c>
      <c r="D96" s="27">
        <f>SUM(D51:D94)</f>
        <v>68950</v>
      </c>
      <c r="E96" s="28">
        <f>SUM(E51:E94)</f>
        <v>0</v>
      </c>
      <c r="F96" s="29">
        <f>SUM(D96:E96)</f>
        <v>68950</v>
      </c>
      <c r="G96" s="30">
        <f>SUM(G51:G94)</f>
        <v>0</v>
      </c>
      <c r="H96" s="27">
        <f>SUM(H51:H95)</f>
        <v>147340.63999999998</v>
      </c>
      <c r="I96" s="29">
        <f>SUM(G96:H96)</f>
        <v>147340.63999999998</v>
      </c>
      <c r="J96" s="20"/>
      <c r="K96" s="20"/>
    </row>
    <row r="97" spans="2:11" ht="18.75" x14ac:dyDescent="0.3">
      <c r="B97" s="7" t="s">
        <v>1</v>
      </c>
      <c r="C97" s="7" t="s">
        <v>2</v>
      </c>
      <c r="D97" s="7" t="s">
        <v>3</v>
      </c>
      <c r="E97" s="7" t="s">
        <v>3</v>
      </c>
      <c r="F97" s="7" t="s">
        <v>8</v>
      </c>
      <c r="G97" s="7" t="s">
        <v>9</v>
      </c>
      <c r="H97" s="8" t="s">
        <v>9</v>
      </c>
      <c r="I97" s="8" t="s">
        <v>8</v>
      </c>
      <c r="J97" s="7" t="s">
        <v>7</v>
      </c>
      <c r="K97" s="8" t="s">
        <v>6</v>
      </c>
    </row>
    <row r="98" spans="2:11" ht="19.5" thickBot="1" x14ac:dyDescent="0.35">
      <c r="B98" s="9"/>
      <c r="C98" s="9"/>
      <c r="D98" s="9" t="s">
        <v>5</v>
      </c>
      <c r="E98" s="9" t="s">
        <v>7</v>
      </c>
      <c r="F98" s="9" t="s">
        <v>3</v>
      </c>
      <c r="G98" s="9" t="s">
        <v>7</v>
      </c>
      <c r="H98" s="10" t="s">
        <v>5</v>
      </c>
      <c r="I98" s="10" t="s">
        <v>4</v>
      </c>
      <c r="J98" s="9"/>
      <c r="K98" s="10"/>
    </row>
    <row r="99" spans="2:11" ht="19.5" thickBot="1" x14ac:dyDescent="0.35">
      <c r="B99" s="25"/>
      <c r="C99" s="26"/>
      <c r="D99" s="27">
        <v>68950</v>
      </c>
      <c r="E99" s="28">
        <v>0</v>
      </c>
      <c r="F99" s="29">
        <f>SUM(D99:E99)</f>
        <v>68950</v>
      </c>
      <c r="G99" s="30">
        <v>0</v>
      </c>
      <c r="H99" s="27">
        <v>147340.64000000001</v>
      </c>
      <c r="I99" s="29">
        <f>SUM(G99:H99)</f>
        <v>147340.64000000001</v>
      </c>
      <c r="J99" s="53">
        <v>0</v>
      </c>
      <c r="K99" s="53">
        <v>0</v>
      </c>
    </row>
    <row r="100" spans="2:11" ht="18.75" x14ac:dyDescent="0.3">
      <c r="B100" s="49">
        <v>44365</v>
      </c>
      <c r="C100" s="21" t="s">
        <v>494</v>
      </c>
      <c r="D100" s="34"/>
      <c r="E100" s="18"/>
      <c r="F100" s="34"/>
      <c r="G100" s="18"/>
      <c r="H100" s="18">
        <v>1000</v>
      </c>
      <c r="I100" s="19"/>
      <c r="J100" s="20">
        <f>+J94+E100-G100</f>
        <v>0</v>
      </c>
      <c r="K100" s="20">
        <f>+K95+D100-H100</f>
        <v>58306.270000000004</v>
      </c>
    </row>
    <row r="101" spans="2:11" ht="18.75" x14ac:dyDescent="0.3">
      <c r="B101" s="49">
        <v>44365</v>
      </c>
      <c r="C101" s="21" t="s">
        <v>495</v>
      </c>
      <c r="D101" s="34"/>
      <c r="E101" s="34"/>
      <c r="F101" s="34"/>
      <c r="G101" s="18"/>
      <c r="H101" s="18">
        <v>23.94</v>
      </c>
      <c r="I101" s="19"/>
      <c r="J101" s="20">
        <f t="shared" ref="J101:J104" si="4">+J100+E101-G101</f>
        <v>0</v>
      </c>
      <c r="K101" s="20">
        <f t="shared" ref="K101:K104" si="5">+K100+D101-H101</f>
        <v>58282.33</v>
      </c>
    </row>
    <row r="102" spans="2:11" ht="18.75" x14ac:dyDescent="0.3">
      <c r="B102" s="49">
        <v>44365</v>
      </c>
      <c r="C102" s="21" t="s">
        <v>496</v>
      </c>
      <c r="D102" s="34"/>
      <c r="E102" s="34"/>
      <c r="F102" s="34"/>
      <c r="G102" s="18"/>
      <c r="H102" s="18">
        <v>244.52</v>
      </c>
      <c r="I102" s="19"/>
      <c r="J102" s="20">
        <f t="shared" si="4"/>
        <v>0</v>
      </c>
      <c r="K102" s="20">
        <f t="shared" si="5"/>
        <v>58037.810000000005</v>
      </c>
    </row>
    <row r="103" spans="2:11" ht="18.75" x14ac:dyDescent="0.3">
      <c r="B103" s="49">
        <v>44366</v>
      </c>
      <c r="C103" s="21" t="s">
        <v>381</v>
      </c>
      <c r="D103" s="34"/>
      <c r="E103" s="34"/>
      <c r="F103" s="34"/>
      <c r="G103" s="18"/>
      <c r="H103" s="18">
        <v>121.8</v>
      </c>
      <c r="I103" s="19"/>
      <c r="J103" s="20">
        <f t="shared" si="4"/>
        <v>0</v>
      </c>
      <c r="K103" s="20">
        <f t="shared" si="5"/>
        <v>57916.01</v>
      </c>
    </row>
    <row r="104" spans="2:11" ht="18.75" x14ac:dyDescent="0.3">
      <c r="B104" s="49">
        <v>44367</v>
      </c>
      <c r="C104" s="24" t="s">
        <v>497</v>
      </c>
      <c r="D104" s="34"/>
      <c r="E104" s="34"/>
      <c r="F104" s="34"/>
      <c r="G104" s="18"/>
      <c r="H104" s="18">
        <v>100</v>
      </c>
      <c r="I104" s="19"/>
      <c r="J104" s="20">
        <f t="shared" si="4"/>
        <v>0</v>
      </c>
      <c r="K104" s="20">
        <f t="shared" si="5"/>
        <v>57816.01</v>
      </c>
    </row>
    <row r="105" spans="2:11" ht="18.75" x14ac:dyDescent="0.3">
      <c r="B105" s="49">
        <v>44367</v>
      </c>
      <c r="C105" s="24" t="s">
        <v>498</v>
      </c>
      <c r="D105" s="34"/>
      <c r="E105" s="34"/>
      <c r="F105" s="34"/>
      <c r="G105" s="18"/>
      <c r="H105" s="18">
        <v>200</v>
      </c>
      <c r="I105" s="19"/>
      <c r="J105" s="20">
        <f t="shared" ref="J105:J136" si="6">+J104+E105-G105</f>
        <v>0</v>
      </c>
      <c r="K105" s="20">
        <f t="shared" ref="K105:K136" si="7">+K104+D105-H105</f>
        <v>57616.01</v>
      </c>
    </row>
    <row r="106" spans="2:11" ht="18.75" x14ac:dyDescent="0.3">
      <c r="B106" s="49">
        <v>44367</v>
      </c>
      <c r="C106" s="24" t="s">
        <v>499</v>
      </c>
      <c r="D106" s="34"/>
      <c r="E106" s="34"/>
      <c r="F106" s="34"/>
      <c r="G106" s="18"/>
      <c r="H106" s="18">
        <v>200</v>
      </c>
      <c r="I106" s="19"/>
      <c r="J106" s="20">
        <f t="shared" si="6"/>
        <v>0</v>
      </c>
      <c r="K106" s="20">
        <f t="shared" si="7"/>
        <v>57416.01</v>
      </c>
    </row>
    <row r="107" spans="2:11" ht="18.75" x14ac:dyDescent="0.3">
      <c r="B107" s="49">
        <v>44367</v>
      </c>
      <c r="C107" s="24" t="s">
        <v>381</v>
      </c>
      <c r="D107" s="34"/>
      <c r="E107" s="34"/>
      <c r="F107" s="34"/>
      <c r="G107" s="18"/>
      <c r="H107" s="18">
        <v>80</v>
      </c>
      <c r="I107" s="19"/>
      <c r="J107" s="20">
        <f t="shared" si="6"/>
        <v>0</v>
      </c>
      <c r="K107" s="20">
        <f t="shared" si="7"/>
        <v>57336.01</v>
      </c>
    </row>
    <row r="108" spans="2:11" ht="18.75" x14ac:dyDescent="0.3">
      <c r="B108" s="49">
        <v>44367</v>
      </c>
      <c r="C108" s="24" t="s">
        <v>484</v>
      </c>
      <c r="D108" s="34"/>
      <c r="E108" s="34"/>
      <c r="F108" s="34"/>
      <c r="G108" s="18"/>
      <c r="H108" s="18">
        <v>120</v>
      </c>
      <c r="I108" s="19"/>
      <c r="J108" s="20">
        <f t="shared" si="6"/>
        <v>0</v>
      </c>
      <c r="K108" s="20">
        <f t="shared" si="7"/>
        <v>57216.01</v>
      </c>
    </row>
    <row r="109" spans="2:11" ht="18.75" x14ac:dyDescent="0.3">
      <c r="B109" s="49">
        <v>44367</v>
      </c>
      <c r="C109" s="24" t="s">
        <v>455</v>
      </c>
      <c r="D109" s="34"/>
      <c r="E109" s="34"/>
      <c r="F109" s="34"/>
      <c r="G109" s="18"/>
      <c r="H109" s="18">
        <v>600</v>
      </c>
      <c r="I109" s="19"/>
      <c r="J109" s="20">
        <f t="shared" si="6"/>
        <v>0</v>
      </c>
      <c r="K109" s="20">
        <f t="shared" si="7"/>
        <v>56616.01</v>
      </c>
    </row>
    <row r="110" spans="2:11" ht="18.75" x14ac:dyDescent="0.3">
      <c r="B110" s="49">
        <v>44367</v>
      </c>
      <c r="C110" s="24" t="s">
        <v>90</v>
      </c>
      <c r="D110" s="34">
        <v>28300</v>
      </c>
      <c r="E110" s="34"/>
      <c r="F110" s="34"/>
      <c r="G110" s="18"/>
      <c r="H110" s="18"/>
      <c r="I110" s="19"/>
      <c r="J110" s="20">
        <f t="shared" si="6"/>
        <v>0</v>
      </c>
      <c r="K110" s="20">
        <f t="shared" si="7"/>
        <v>84916.010000000009</v>
      </c>
    </row>
    <row r="111" spans="2:11" ht="18.75" x14ac:dyDescent="0.3">
      <c r="B111" s="49">
        <v>44368</v>
      </c>
      <c r="C111" s="24" t="s">
        <v>500</v>
      </c>
      <c r="D111" s="34"/>
      <c r="E111" s="34"/>
      <c r="F111" s="34"/>
      <c r="G111" s="18"/>
      <c r="H111" s="18">
        <v>400</v>
      </c>
      <c r="I111" s="19"/>
      <c r="J111" s="20">
        <f t="shared" si="6"/>
        <v>0</v>
      </c>
      <c r="K111" s="20">
        <f t="shared" si="7"/>
        <v>84516.010000000009</v>
      </c>
    </row>
    <row r="112" spans="2:11" ht="18.75" x14ac:dyDescent="0.3">
      <c r="B112" s="49">
        <v>44368</v>
      </c>
      <c r="C112" s="24" t="s">
        <v>152</v>
      </c>
      <c r="D112" s="34"/>
      <c r="E112" s="34"/>
      <c r="F112" s="34"/>
      <c r="G112" s="18"/>
      <c r="H112" s="18">
        <v>33.5</v>
      </c>
      <c r="I112" s="19"/>
      <c r="J112" s="20">
        <f t="shared" si="6"/>
        <v>0</v>
      </c>
      <c r="K112" s="20">
        <f t="shared" si="7"/>
        <v>84482.510000000009</v>
      </c>
    </row>
    <row r="113" spans="2:11" ht="18.75" x14ac:dyDescent="0.3">
      <c r="B113" s="49">
        <v>44368</v>
      </c>
      <c r="C113" s="24" t="s">
        <v>501</v>
      </c>
      <c r="D113" s="34"/>
      <c r="E113" s="34"/>
      <c r="F113" s="34"/>
      <c r="G113" s="18"/>
      <c r="H113" s="18">
        <v>67.5</v>
      </c>
      <c r="I113" s="19"/>
      <c r="J113" s="20">
        <f t="shared" si="6"/>
        <v>0</v>
      </c>
      <c r="K113" s="20">
        <f t="shared" si="7"/>
        <v>84415.010000000009</v>
      </c>
    </row>
    <row r="114" spans="2:11" ht="18.75" x14ac:dyDescent="0.3">
      <c r="B114" s="49">
        <v>44368</v>
      </c>
      <c r="C114" s="24" t="s">
        <v>502</v>
      </c>
      <c r="D114" s="34"/>
      <c r="E114" s="34"/>
      <c r="F114" s="34"/>
      <c r="G114" s="18"/>
      <c r="H114" s="18">
        <v>300</v>
      </c>
      <c r="I114" s="19"/>
      <c r="J114" s="20">
        <f t="shared" si="6"/>
        <v>0</v>
      </c>
      <c r="K114" s="20">
        <f t="shared" si="7"/>
        <v>84115.010000000009</v>
      </c>
    </row>
    <row r="115" spans="2:11" ht="18.75" x14ac:dyDescent="0.3">
      <c r="B115" s="49">
        <v>44368</v>
      </c>
      <c r="C115" s="24" t="s">
        <v>503</v>
      </c>
      <c r="D115" s="34"/>
      <c r="E115" s="34"/>
      <c r="F115" s="34"/>
      <c r="G115" s="18"/>
      <c r="H115" s="18">
        <v>400</v>
      </c>
      <c r="I115" s="19"/>
      <c r="J115" s="20">
        <f t="shared" si="6"/>
        <v>0</v>
      </c>
      <c r="K115" s="20">
        <f t="shared" si="7"/>
        <v>83715.010000000009</v>
      </c>
    </row>
    <row r="116" spans="2:11" ht="18.75" x14ac:dyDescent="0.3">
      <c r="B116" s="49">
        <v>44368</v>
      </c>
      <c r="C116" s="24" t="s">
        <v>504</v>
      </c>
      <c r="D116" s="34"/>
      <c r="E116" s="34"/>
      <c r="F116" s="34"/>
      <c r="G116" s="18"/>
      <c r="H116" s="18">
        <v>42</v>
      </c>
      <c r="I116" s="19"/>
      <c r="J116" s="20">
        <f t="shared" si="6"/>
        <v>0</v>
      </c>
      <c r="K116" s="20">
        <f t="shared" si="7"/>
        <v>83673.010000000009</v>
      </c>
    </row>
    <row r="117" spans="2:11" ht="18.75" x14ac:dyDescent="0.3">
      <c r="B117" s="49">
        <v>44368</v>
      </c>
      <c r="C117" s="24" t="s">
        <v>505</v>
      </c>
      <c r="D117" s="34"/>
      <c r="E117" s="34"/>
      <c r="F117" s="34"/>
      <c r="G117" s="18"/>
      <c r="H117" s="18">
        <v>65</v>
      </c>
      <c r="I117" s="19"/>
      <c r="J117" s="20">
        <f t="shared" si="6"/>
        <v>0</v>
      </c>
      <c r="K117" s="20">
        <f t="shared" si="7"/>
        <v>83608.010000000009</v>
      </c>
    </row>
    <row r="118" spans="2:11" ht="18.75" x14ac:dyDescent="0.3">
      <c r="B118" s="49">
        <v>44368</v>
      </c>
      <c r="C118" s="24" t="s">
        <v>486</v>
      </c>
      <c r="D118" s="34"/>
      <c r="E118" s="34"/>
      <c r="F118" s="34"/>
      <c r="G118" s="18"/>
      <c r="H118" s="18">
        <v>84</v>
      </c>
      <c r="I118" s="19"/>
      <c r="J118" s="20">
        <f t="shared" si="6"/>
        <v>0</v>
      </c>
      <c r="K118" s="20">
        <f t="shared" si="7"/>
        <v>83524.010000000009</v>
      </c>
    </row>
    <row r="119" spans="2:11" ht="18.75" x14ac:dyDescent="0.3">
      <c r="B119" s="49">
        <v>44368</v>
      </c>
      <c r="C119" s="24" t="s">
        <v>291</v>
      </c>
      <c r="D119" s="34"/>
      <c r="E119" s="34"/>
      <c r="F119" s="34"/>
      <c r="G119" s="18"/>
      <c r="H119" s="18">
        <v>200</v>
      </c>
      <c r="I119" s="19"/>
      <c r="J119" s="20">
        <f t="shared" si="6"/>
        <v>0</v>
      </c>
      <c r="K119" s="20">
        <f t="shared" si="7"/>
        <v>83324.010000000009</v>
      </c>
    </row>
    <row r="120" spans="2:11" ht="18.75" x14ac:dyDescent="0.3">
      <c r="B120" s="49">
        <v>44368</v>
      </c>
      <c r="C120" s="24" t="s">
        <v>470</v>
      </c>
      <c r="D120" s="34"/>
      <c r="E120" s="34"/>
      <c r="F120" s="34"/>
      <c r="G120" s="18"/>
      <c r="H120" s="18">
        <v>91.2</v>
      </c>
      <c r="I120" s="19"/>
      <c r="J120" s="20">
        <f t="shared" si="6"/>
        <v>0</v>
      </c>
      <c r="K120" s="20">
        <f t="shared" si="7"/>
        <v>83232.810000000012</v>
      </c>
    </row>
    <row r="121" spans="2:11" ht="18.75" x14ac:dyDescent="0.3">
      <c r="B121" s="49">
        <v>44369</v>
      </c>
      <c r="C121" s="24" t="s">
        <v>506</v>
      </c>
      <c r="D121" s="34"/>
      <c r="E121" s="34"/>
      <c r="F121" s="34"/>
      <c r="G121" s="18"/>
      <c r="H121" s="18">
        <v>96.01</v>
      </c>
      <c r="I121" s="19"/>
      <c r="J121" s="20">
        <f t="shared" si="6"/>
        <v>0</v>
      </c>
      <c r="K121" s="20">
        <f t="shared" si="7"/>
        <v>83136.800000000017</v>
      </c>
    </row>
    <row r="122" spans="2:11" ht="18.75" x14ac:dyDescent="0.3">
      <c r="B122" s="49">
        <v>44370</v>
      </c>
      <c r="C122" s="24" t="s">
        <v>507</v>
      </c>
      <c r="D122" s="34"/>
      <c r="E122" s="34"/>
      <c r="F122" s="34"/>
      <c r="G122" s="18"/>
      <c r="H122" s="18">
        <v>1500</v>
      </c>
      <c r="I122" s="19"/>
      <c r="J122" s="20">
        <f t="shared" si="6"/>
        <v>0</v>
      </c>
      <c r="K122" s="20">
        <f t="shared" si="7"/>
        <v>81636.800000000017</v>
      </c>
    </row>
    <row r="123" spans="2:11" ht="18.75" x14ac:dyDescent="0.3">
      <c r="B123" s="49">
        <v>44370</v>
      </c>
      <c r="C123" s="24" t="s">
        <v>508</v>
      </c>
      <c r="D123" s="34"/>
      <c r="E123" s="34"/>
      <c r="F123" s="34"/>
      <c r="G123" s="18"/>
      <c r="H123" s="18">
        <v>1000</v>
      </c>
      <c r="I123" s="19"/>
      <c r="J123" s="20">
        <f t="shared" si="6"/>
        <v>0</v>
      </c>
      <c r="K123" s="20">
        <f t="shared" si="7"/>
        <v>80636.800000000017</v>
      </c>
    </row>
    <row r="124" spans="2:11" ht="18.75" x14ac:dyDescent="0.3">
      <c r="B124" s="49">
        <v>44370</v>
      </c>
      <c r="C124" s="24" t="s">
        <v>455</v>
      </c>
      <c r="D124" s="34"/>
      <c r="E124" s="34"/>
      <c r="F124" s="34"/>
      <c r="G124" s="18"/>
      <c r="H124" s="18">
        <v>550</v>
      </c>
      <c r="I124" s="19"/>
      <c r="J124" s="20">
        <f t="shared" si="6"/>
        <v>0</v>
      </c>
      <c r="K124" s="20">
        <f t="shared" si="7"/>
        <v>80086.800000000017</v>
      </c>
    </row>
    <row r="125" spans="2:11" ht="18.75" x14ac:dyDescent="0.3">
      <c r="B125" s="49">
        <v>44370</v>
      </c>
      <c r="C125" s="24" t="s">
        <v>459</v>
      </c>
      <c r="D125" s="34"/>
      <c r="E125" s="34"/>
      <c r="F125" s="34"/>
      <c r="G125" s="18"/>
      <c r="H125" s="18">
        <v>350</v>
      </c>
      <c r="I125" s="19"/>
      <c r="J125" s="20">
        <f t="shared" si="6"/>
        <v>0</v>
      </c>
      <c r="K125" s="20">
        <f t="shared" si="7"/>
        <v>79736.800000000017</v>
      </c>
    </row>
    <row r="126" spans="2:11" ht="18.75" x14ac:dyDescent="0.3">
      <c r="B126" s="49">
        <v>44370</v>
      </c>
      <c r="C126" s="24" t="s">
        <v>509</v>
      </c>
      <c r="D126" s="34"/>
      <c r="E126" s="34"/>
      <c r="F126" s="34"/>
      <c r="G126" s="18"/>
      <c r="H126" s="18">
        <v>30</v>
      </c>
      <c r="I126" s="19"/>
      <c r="J126" s="20">
        <f t="shared" si="6"/>
        <v>0</v>
      </c>
      <c r="K126" s="20">
        <f t="shared" si="7"/>
        <v>79706.800000000017</v>
      </c>
    </row>
    <row r="127" spans="2:11" ht="18.75" x14ac:dyDescent="0.3">
      <c r="B127" s="49">
        <v>44370</v>
      </c>
      <c r="C127" s="24" t="s">
        <v>470</v>
      </c>
      <c r="D127" s="34"/>
      <c r="E127" s="34"/>
      <c r="F127" s="34"/>
      <c r="G127" s="18"/>
      <c r="H127" s="18">
        <v>99.83</v>
      </c>
      <c r="I127" s="19"/>
      <c r="J127" s="20">
        <f t="shared" si="6"/>
        <v>0</v>
      </c>
      <c r="K127" s="20">
        <f t="shared" si="7"/>
        <v>79606.970000000016</v>
      </c>
    </row>
    <row r="128" spans="2:11" ht="18.75" x14ac:dyDescent="0.3">
      <c r="B128" s="49">
        <v>44371</v>
      </c>
      <c r="C128" s="24" t="s">
        <v>488</v>
      </c>
      <c r="D128" s="34"/>
      <c r="E128" s="34"/>
      <c r="F128" s="34"/>
      <c r="G128" s="18"/>
      <c r="H128" s="18">
        <v>100</v>
      </c>
      <c r="I128" s="19"/>
      <c r="J128" s="20">
        <f t="shared" si="6"/>
        <v>0</v>
      </c>
      <c r="K128" s="20">
        <f t="shared" si="7"/>
        <v>79506.970000000016</v>
      </c>
    </row>
    <row r="129" spans="2:11" ht="18.75" x14ac:dyDescent="0.3">
      <c r="B129" s="49">
        <v>44371</v>
      </c>
      <c r="C129" s="24" t="s">
        <v>500</v>
      </c>
      <c r="D129" s="34"/>
      <c r="E129" s="34"/>
      <c r="F129" s="34"/>
      <c r="G129" s="18"/>
      <c r="H129" s="18">
        <v>250</v>
      </c>
      <c r="I129" s="19"/>
      <c r="J129" s="20">
        <f t="shared" si="6"/>
        <v>0</v>
      </c>
      <c r="K129" s="20">
        <f t="shared" si="7"/>
        <v>79256.970000000016</v>
      </c>
    </row>
    <row r="130" spans="2:11" ht="18.75" x14ac:dyDescent="0.3">
      <c r="B130" s="49">
        <v>44372</v>
      </c>
      <c r="C130" s="21" t="s">
        <v>510</v>
      </c>
      <c r="D130" s="34"/>
      <c r="E130" s="34"/>
      <c r="F130" s="34"/>
      <c r="G130" s="18"/>
      <c r="H130" s="18">
        <v>204.4</v>
      </c>
      <c r="I130" s="19"/>
      <c r="J130" s="20">
        <f t="shared" si="6"/>
        <v>0</v>
      </c>
      <c r="K130" s="20">
        <f t="shared" si="7"/>
        <v>79052.570000000022</v>
      </c>
    </row>
    <row r="131" spans="2:11" ht="18.75" x14ac:dyDescent="0.3">
      <c r="B131" s="49">
        <v>44372</v>
      </c>
      <c r="C131" s="24" t="s">
        <v>511</v>
      </c>
      <c r="D131" s="34"/>
      <c r="E131" s="34"/>
      <c r="F131" s="34"/>
      <c r="G131" s="18"/>
      <c r="H131" s="18">
        <v>84</v>
      </c>
      <c r="I131" s="19"/>
      <c r="J131" s="20">
        <f t="shared" si="6"/>
        <v>0</v>
      </c>
      <c r="K131" s="20">
        <f t="shared" si="7"/>
        <v>78968.570000000022</v>
      </c>
    </row>
    <row r="132" spans="2:11" ht="18.75" x14ac:dyDescent="0.3">
      <c r="B132" s="49">
        <v>44373</v>
      </c>
      <c r="C132" s="24" t="s">
        <v>459</v>
      </c>
      <c r="D132" s="34"/>
      <c r="E132" s="18"/>
      <c r="F132" s="18"/>
      <c r="G132" s="18"/>
      <c r="H132" s="18">
        <v>250</v>
      </c>
      <c r="I132" s="19"/>
      <c r="J132" s="20">
        <f t="shared" si="6"/>
        <v>0</v>
      </c>
      <c r="K132" s="20">
        <f t="shared" si="7"/>
        <v>78718.570000000022</v>
      </c>
    </row>
    <row r="133" spans="2:11" ht="18.75" x14ac:dyDescent="0.3">
      <c r="B133" s="49">
        <v>44373</v>
      </c>
      <c r="C133" s="24" t="s">
        <v>275</v>
      </c>
      <c r="D133" s="34"/>
      <c r="E133" s="18"/>
      <c r="F133" s="18"/>
      <c r="G133" s="18"/>
      <c r="H133" s="18">
        <v>54</v>
      </c>
      <c r="I133" s="19"/>
      <c r="J133" s="20">
        <f t="shared" si="6"/>
        <v>0</v>
      </c>
      <c r="K133" s="20">
        <f t="shared" si="7"/>
        <v>78664.570000000022</v>
      </c>
    </row>
    <row r="134" spans="2:11" ht="18.75" x14ac:dyDescent="0.3">
      <c r="B134" s="49">
        <v>44373</v>
      </c>
      <c r="C134" s="43" t="s">
        <v>455</v>
      </c>
      <c r="D134" s="34"/>
      <c r="E134" s="18"/>
      <c r="F134" s="18"/>
      <c r="G134" s="18"/>
      <c r="H134" s="18">
        <v>900</v>
      </c>
      <c r="I134" s="19"/>
      <c r="J134" s="20">
        <f t="shared" si="6"/>
        <v>0</v>
      </c>
      <c r="K134" s="20">
        <f t="shared" si="7"/>
        <v>77764.570000000022</v>
      </c>
    </row>
    <row r="135" spans="2:11" ht="18.75" x14ac:dyDescent="0.3">
      <c r="B135" s="49">
        <v>44373</v>
      </c>
      <c r="C135" s="17" t="s">
        <v>500</v>
      </c>
      <c r="D135" s="34"/>
      <c r="E135" s="18"/>
      <c r="F135" s="18"/>
      <c r="G135" s="18"/>
      <c r="H135" s="18">
        <v>250</v>
      </c>
      <c r="I135" s="19"/>
      <c r="J135" s="20">
        <f t="shared" si="6"/>
        <v>0</v>
      </c>
      <c r="K135" s="20">
        <f t="shared" si="7"/>
        <v>77514.570000000022</v>
      </c>
    </row>
    <row r="136" spans="2:11" ht="18.75" x14ac:dyDescent="0.3">
      <c r="B136" s="49">
        <v>44373</v>
      </c>
      <c r="C136" s="17" t="s">
        <v>512</v>
      </c>
      <c r="D136" s="34"/>
      <c r="E136" s="18"/>
      <c r="F136" s="18"/>
      <c r="G136" s="18"/>
      <c r="H136" s="18">
        <v>500</v>
      </c>
      <c r="I136" s="19"/>
      <c r="J136" s="20">
        <f t="shared" si="6"/>
        <v>0</v>
      </c>
      <c r="K136" s="20">
        <f t="shared" si="7"/>
        <v>77014.570000000022</v>
      </c>
    </row>
    <row r="137" spans="2:11" ht="18.75" x14ac:dyDescent="0.3">
      <c r="B137" s="49">
        <v>44374</v>
      </c>
      <c r="C137" s="17" t="s">
        <v>303</v>
      </c>
      <c r="D137" s="34"/>
      <c r="E137" s="18"/>
      <c r="F137" s="18"/>
      <c r="G137" s="18"/>
      <c r="H137" s="18">
        <v>100</v>
      </c>
      <c r="I137" s="19"/>
      <c r="J137" s="20">
        <f t="shared" ref="J137" si="8">+J136+E137-G137</f>
        <v>0</v>
      </c>
      <c r="K137" s="20">
        <f t="shared" ref="K137" si="9">+K136+D137-H137</f>
        <v>76914.570000000022</v>
      </c>
    </row>
    <row r="138" spans="2:11" ht="18.75" x14ac:dyDescent="0.3">
      <c r="B138" s="49">
        <v>44374</v>
      </c>
      <c r="C138" s="17" t="s">
        <v>513</v>
      </c>
      <c r="D138" s="34"/>
      <c r="E138" s="18"/>
      <c r="F138" s="18"/>
      <c r="G138" s="18"/>
      <c r="H138" s="18">
        <v>200</v>
      </c>
      <c r="I138" s="19"/>
      <c r="J138" s="20">
        <f t="shared" ref="J138:J139" si="10">+J137+E138-G138</f>
        <v>0</v>
      </c>
      <c r="K138" s="20">
        <f t="shared" ref="K138:K139" si="11">+K137+D138-H138</f>
        <v>76714.570000000022</v>
      </c>
    </row>
    <row r="139" spans="2:11" ht="18.75" x14ac:dyDescent="0.3">
      <c r="B139" s="49">
        <v>44374</v>
      </c>
      <c r="C139" s="17" t="s">
        <v>484</v>
      </c>
      <c r="D139" s="34"/>
      <c r="E139" s="18"/>
      <c r="F139" s="18"/>
      <c r="G139" s="18"/>
      <c r="H139" s="18">
        <v>130</v>
      </c>
      <c r="I139" s="19"/>
      <c r="J139" s="20">
        <f t="shared" si="10"/>
        <v>0</v>
      </c>
      <c r="K139" s="20">
        <f t="shared" si="11"/>
        <v>76584.570000000022</v>
      </c>
    </row>
    <row r="140" spans="2:11" ht="18.75" x14ac:dyDescent="0.3">
      <c r="B140" s="49">
        <v>44374</v>
      </c>
      <c r="C140" s="17" t="s">
        <v>455</v>
      </c>
      <c r="D140" s="34"/>
      <c r="E140" s="18"/>
      <c r="F140" s="18"/>
      <c r="G140" s="18"/>
      <c r="H140" s="18">
        <v>600</v>
      </c>
      <c r="I140" s="19"/>
      <c r="J140" s="20">
        <f t="shared" ref="J140:J148" si="12">+J139+E140-G140</f>
        <v>0</v>
      </c>
      <c r="K140" s="20">
        <f t="shared" ref="K140:K143" si="13">+K139+D140-H140</f>
        <v>75984.570000000022</v>
      </c>
    </row>
    <row r="141" spans="2:11" ht="18.75" x14ac:dyDescent="0.3">
      <c r="B141" s="49">
        <v>44374</v>
      </c>
      <c r="C141" s="17" t="s">
        <v>514</v>
      </c>
      <c r="D141" s="34"/>
      <c r="E141" s="18"/>
      <c r="F141" s="18"/>
      <c r="G141" s="18"/>
      <c r="H141" s="18">
        <v>400</v>
      </c>
      <c r="I141" s="19"/>
      <c r="J141" s="20">
        <f t="shared" si="12"/>
        <v>0</v>
      </c>
      <c r="K141" s="20">
        <f t="shared" si="13"/>
        <v>75584.570000000022</v>
      </c>
    </row>
    <row r="142" spans="2:11" ht="18.75" x14ac:dyDescent="0.3">
      <c r="B142" s="49">
        <v>44374</v>
      </c>
      <c r="C142" s="17" t="s">
        <v>500</v>
      </c>
      <c r="D142" s="34"/>
      <c r="E142" s="18"/>
      <c r="F142" s="18"/>
      <c r="G142" s="18"/>
      <c r="H142" s="18">
        <v>450</v>
      </c>
      <c r="I142" s="19"/>
      <c r="J142" s="20">
        <f t="shared" si="12"/>
        <v>0</v>
      </c>
      <c r="K142" s="20">
        <f t="shared" si="13"/>
        <v>75134.570000000022</v>
      </c>
    </row>
    <row r="143" spans="2:11" ht="19.5" thickBot="1" x14ac:dyDescent="0.35">
      <c r="B143" s="49">
        <v>44374</v>
      </c>
      <c r="C143" s="17" t="s">
        <v>515</v>
      </c>
      <c r="D143" s="34">
        <v>25200</v>
      </c>
      <c r="E143" s="18"/>
      <c r="F143" s="18"/>
      <c r="G143" s="18"/>
      <c r="H143" s="18"/>
      <c r="I143" s="19"/>
      <c r="J143" s="20">
        <f t="shared" si="12"/>
        <v>0</v>
      </c>
      <c r="K143" s="20">
        <f t="shared" si="13"/>
        <v>100334.57000000002</v>
      </c>
    </row>
    <row r="144" spans="2:11" ht="19.5" thickBot="1" x14ac:dyDescent="0.35">
      <c r="B144" s="25"/>
      <c r="C144" s="26" t="s">
        <v>0</v>
      </c>
      <c r="D144" s="27">
        <f>SUM(D99:D142)</f>
        <v>97250</v>
      </c>
      <c r="E144" s="28">
        <f>SUM(E99:E142)</f>
        <v>0</v>
      </c>
      <c r="F144" s="29">
        <f>SUM(D144:E144)</f>
        <v>97250</v>
      </c>
      <c r="G144" s="30">
        <f>SUM(G99:G142)</f>
        <v>0</v>
      </c>
      <c r="H144" s="27">
        <f>SUM(H99:H143)</f>
        <v>159812.34</v>
      </c>
      <c r="I144" s="29">
        <f>SUM(G144:H144)</f>
        <v>159812.34</v>
      </c>
      <c r="J144" s="20"/>
      <c r="K144" s="20"/>
    </row>
    <row r="145" spans="2:11" ht="18.75" x14ac:dyDescent="0.3">
      <c r="B145" s="7" t="s">
        <v>1</v>
      </c>
      <c r="C145" s="7" t="s">
        <v>2</v>
      </c>
      <c r="D145" s="7" t="s">
        <v>3</v>
      </c>
      <c r="E145" s="7" t="s">
        <v>3</v>
      </c>
      <c r="F145" s="7" t="s">
        <v>8</v>
      </c>
      <c r="G145" s="7" t="s">
        <v>9</v>
      </c>
      <c r="H145" s="8" t="s">
        <v>9</v>
      </c>
      <c r="I145" s="8" t="s">
        <v>8</v>
      </c>
      <c r="J145" s="7" t="s">
        <v>7</v>
      </c>
      <c r="K145" s="8" t="s">
        <v>6</v>
      </c>
    </row>
    <row r="146" spans="2:11" ht="19.5" thickBot="1" x14ac:dyDescent="0.35">
      <c r="B146" s="9"/>
      <c r="C146" s="9"/>
      <c r="D146" s="9" t="s">
        <v>5</v>
      </c>
      <c r="E146" s="9" t="s">
        <v>7</v>
      </c>
      <c r="F146" s="9" t="s">
        <v>3</v>
      </c>
      <c r="G146" s="9" t="s">
        <v>7</v>
      </c>
      <c r="H146" s="10" t="s">
        <v>5</v>
      </c>
      <c r="I146" s="10" t="s">
        <v>4</v>
      </c>
      <c r="J146" s="9"/>
      <c r="K146" s="10"/>
    </row>
    <row r="147" spans="2:11" ht="19.5" thickBot="1" x14ac:dyDescent="0.35">
      <c r="B147" s="25"/>
      <c r="C147" s="26"/>
      <c r="D147" s="27">
        <v>97250</v>
      </c>
      <c r="E147" s="28">
        <v>0</v>
      </c>
      <c r="F147" s="29">
        <f>SUM(D147:E147)</f>
        <v>97250</v>
      </c>
      <c r="G147" s="30">
        <v>0</v>
      </c>
      <c r="H147" s="27">
        <v>14554.4</v>
      </c>
      <c r="I147" s="29">
        <f>SUM(G147:H147)</f>
        <v>14554.4</v>
      </c>
      <c r="J147" s="53">
        <v>0</v>
      </c>
      <c r="K147" s="53">
        <v>0</v>
      </c>
    </row>
    <row r="148" spans="2:11" ht="18.75" x14ac:dyDescent="0.3">
      <c r="B148" s="49">
        <v>44467</v>
      </c>
      <c r="C148" s="17" t="s">
        <v>457</v>
      </c>
      <c r="D148" s="34"/>
      <c r="E148" s="18"/>
      <c r="F148" s="18"/>
      <c r="G148" s="18"/>
      <c r="H148" s="18">
        <v>409.8</v>
      </c>
      <c r="I148" s="19"/>
      <c r="J148" s="20">
        <f t="shared" si="12"/>
        <v>0</v>
      </c>
      <c r="K148" s="20">
        <f>+K143+D148-H148</f>
        <v>99924.770000000019</v>
      </c>
    </row>
    <row r="149" spans="2:11" ht="18.75" x14ac:dyDescent="0.3">
      <c r="B149" s="49">
        <v>44375</v>
      </c>
      <c r="C149" s="17" t="s">
        <v>486</v>
      </c>
      <c r="D149" s="34"/>
      <c r="E149" s="18"/>
      <c r="F149" s="18"/>
      <c r="G149" s="18"/>
      <c r="H149" s="18">
        <v>84</v>
      </c>
      <c r="I149" s="19"/>
      <c r="J149" s="20">
        <f t="shared" ref="J149" si="14">+J148+E149-G149</f>
        <v>0</v>
      </c>
      <c r="K149" s="20">
        <f>+K148+D149-H149</f>
        <v>99840.770000000019</v>
      </c>
    </row>
    <row r="150" spans="2:11" ht="18.75" x14ac:dyDescent="0.3">
      <c r="B150" s="49">
        <v>44375</v>
      </c>
      <c r="C150" s="17" t="s">
        <v>516</v>
      </c>
      <c r="D150" s="34"/>
      <c r="E150" s="18"/>
      <c r="F150" s="18"/>
      <c r="G150" s="18"/>
      <c r="H150" s="18">
        <v>42</v>
      </c>
      <c r="I150" s="19"/>
      <c r="J150" s="20">
        <f t="shared" ref="J150:J154" si="15">+J149+E150-G150</f>
        <v>0</v>
      </c>
      <c r="K150" s="20">
        <f t="shared" ref="K150:K154" si="16">+K149+D150-H150</f>
        <v>99798.770000000019</v>
      </c>
    </row>
    <row r="151" spans="2:11" ht="18.75" x14ac:dyDescent="0.3">
      <c r="B151" s="49">
        <v>44376</v>
      </c>
      <c r="C151" s="17" t="s">
        <v>455</v>
      </c>
      <c r="D151" s="34"/>
      <c r="E151" s="18"/>
      <c r="F151" s="18"/>
      <c r="G151" s="18"/>
      <c r="H151" s="18">
        <v>650</v>
      </c>
      <c r="I151" s="19"/>
      <c r="J151" s="20">
        <f t="shared" si="15"/>
        <v>0</v>
      </c>
      <c r="K151" s="20">
        <f t="shared" si="16"/>
        <v>99148.770000000019</v>
      </c>
    </row>
    <row r="152" spans="2:11" ht="18.75" x14ac:dyDescent="0.3">
      <c r="B152" s="49">
        <v>44376</v>
      </c>
      <c r="C152" s="17" t="s">
        <v>510</v>
      </c>
      <c r="D152" s="34"/>
      <c r="E152" s="18"/>
      <c r="F152" s="18"/>
      <c r="G152" s="18"/>
      <c r="H152" s="18">
        <v>201.58</v>
      </c>
      <c r="I152" s="19"/>
      <c r="J152" s="20">
        <f t="shared" si="15"/>
        <v>0</v>
      </c>
      <c r="K152" s="20">
        <f t="shared" si="16"/>
        <v>98947.190000000017</v>
      </c>
    </row>
    <row r="153" spans="2:11" ht="18.75" x14ac:dyDescent="0.3">
      <c r="B153" s="49">
        <v>44376</v>
      </c>
      <c r="C153" s="17" t="s">
        <v>458</v>
      </c>
      <c r="D153" s="34"/>
      <c r="E153" s="18"/>
      <c r="F153" s="18"/>
      <c r="G153" s="18"/>
      <c r="H153" s="18">
        <v>80</v>
      </c>
      <c r="I153" s="19"/>
      <c r="J153" s="20">
        <f t="shared" si="15"/>
        <v>0</v>
      </c>
      <c r="K153" s="20">
        <f t="shared" si="16"/>
        <v>98867.190000000017</v>
      </c>
    </row>
    <row r="154" spans="2:11" ht="18.75" x14ac:dyDescent="0.3">
      <c r="B154" s="49">
        <v>44376</v>
      </c>
      <c r="C154" s="17" t="s">
        <v>517</v>
      </c>
      <c r="D154" s="34"/>
      <c r="E154" s="18"/>
      <c r="F154" s="18"/>
      <c r="G154" s="18"/>
      <c r="H154" s="18">
        <v>401.99</v>
      </c>
      <c r="I154" s="19"/>
      <c r="J154" s="20">
        <f t="shared" si="15"/>
        <v>0</v>
      </c>
      <c r="K154" s="20">
        <f t="shared" si="16"/>
        <v>98465.200000000012</v>
      </c>
    </row>
    <row r="155" spans="2:11" ht="18.75" x14ac:dyDescent="0.3">
      <c r="B155" s="49">
        <v>44377</v>
      </c>
      <c r="C155" s="21" t="s">
        <v>184</v>
      </c>
      <c r="D155" s="34"/>
      <c r="E155" s="34"/>
      <c r="F155" s="34"/>
      <c r="G155" s="18"/>
      <c r="H155" s="18">
        <v>250</v>
      </c>
      <c r="I155" s="19"/>
      <c r="J155" s="20">
        <f t="shared" ref="J155:J164" si="17">+J154+E155-G155</f>
        <v>0</v>
      </c>
      <c r="K155" s="20">
        <f t="shared" ref="K155:K164" si="18">+K154+D155-H155</f>
        <v>98215.200000000012</v>
      </c>
    </row>
    <row r="156" spans="2:11" ht="18.75" x14ac:dyDescent="0.3">
      <c r="B156" s="49">
        <v>44377</v>
      </c>
      <c r="C156" s="21" t="s">
        <v>185</v>
      </c>
      <c r="D156" s="34"/>
      <c r="E156" s="34"/>
      <c r="F156" s="34"/>
      <c r="G156" s="18"/>
      <c r="H156" s="18">
        <v>300</v>
      </c>
      <c r="I156" s="19"/>
      <c r="J156" s="20">
        <f t="shared" si="17"/>
        <v>0</v>
      </c>
      <c r="K156" s="20">
        <f t="shared" si="18"/>
        <v>97915.200000000012</v>
      </c>
    </row>
    <row r="157" spans="2:11" ht="18.75" x14ac:dyDescent="0.3">
      <c r="B157" s="49">
        <v>44377</v>
      </c>
      <c r="C157" s="21" t="s">
        <v>186</v>
      </c>
      <c r="D157" s="34"/>
      <c r="E157" s="34"/>
      <c r="F157" s="34"/>
      <c r="G157" s="18"/>
      <c r="H157" s="18">
        <v>650</v>
      </c>
      <c r="I157" s="19"/>
      <c r="J157" s="20">
        <f t="shared" si="17"/>
        <v>0</v>
      </c>
      <c r="K157" s="20">
        <f t="shared" si="18"/>
        <v>97265.200000000012</v>
      </c>
    </row>
    <row r="158" spans="2:11" ht="18.75" x14ac:dyDescent="0.3">
      <c r="B158" s="49">
        <v>44377</v>
      </c>
      <c r="C158" s="24" t="s">
        <v>518</v>
      </c>
      <c r="D158" s="34"/>
      <c r="E158" s="34"/>
      <c r="F158" s="34"/>
      <c r="G158" s="18"/>
      <c r="H158" s="18">
        <v>3650</v>
      </c>
      <c r="I158" s="19"/>
      <c r="J158" s="20">
        <f t="shared" si="17"/>
        <v>0</v>
      </c>
      <c r="K158" s="20">
        <f t="shared" si="18"/>
        <v>93615.200000000012</v>
      </c>
    </row>
    <row r="159" spans="2:11" ht="18.75" x14ac:dyDescent="0.3">
      <c r="B159" s="49">
        <v>44377</v>
      </c>
      <c r="C159" s="21" t="s">
        <v>80</v>
      </c>
      <c r="D159" s="34"/>
      <c r="E159" s="34"/>
      <c r="F159" s="34"/>
      <c r="G159" s="18"/>
      <c r="H159" s="18">
        <v>3400</v>
      </c>
      <c r="I159" s="19"/>
      <c r="J159" s="20">
        <f t="shared" si="17"/>
        <v>0</v>
      </c>
      <c r="K159" s="20">
        <f t="shared" si="18"/>
        <v>90215.200000000012</v>
      </c>
    </row>
    <row r="160" spans="2:11" ht="18.75" x14ac:dyDescent="0.3">
      <c r="B160" s="49">
        <v>44377</v>
      </c>
      <c r="C160" s="24" t="s">
        <v>473</v>
      </c>
      <c r="D160" s="34">
        <v>9000</v>
      </c>
      <c r="E160" s="34"/>
      <c r="F160" s="34"/>
      <c r="G160" s="18"/>
      <c r="H160" s="18"/>
      <c r="I160" s="19"/>
      <c r="J160" s="20">
        <f t="shared" si="17"/>
        <v>0</v>
      </c>
      <c r="K160" s="20">
        <f t="shared" si="18"/>
        <v>99215.200000000012</v>
      </c>
    </row>
    <row r="161" spans="2:13" ht="18.75" x14ac:dyDescent="0.3">
      <c r="B161" s="49">
        <v>44377</v>
      </c>
      <c r="C161" s="24" t="s">
        <v>88</v>
      </c>
      <c r="D161" s="34"/>
      <c r="E161" s="18"/>
      <c r="F161" s="18"/>
      <c r="G161" s="18"/>
      <c r="H161" s="18">
        <v>9000</v>
      </c>
      <c r="I161" s="19"/>
      <c r="J161" s="20">
        <f t="shared" si="17"/>
        <v>0</v>
      </c>
      <c r="K161" s="20">
        <f t="shared" si="18"/>
        <v>90215.200000000012</v>
      </c>
    </row>
    <row r="162" spans="2:13" ht="18.75" x14ac:dyDescent="0.3">
      <c r="B162" s="49">
        <v>44377</v>
      </c>
      <c r="C162" s="24" t="s">
        <v>89</v>
      </c>
      <c r="D162" s="34"/>
      <c r="E162" s="18"/>
      <c r="F162" s="18"/>
      <c r="G162" s="18"/>
      <c r="H162" s="18">
        <v>29250</v>
      </c>
      <c r="I162" s="19"/>
      <c r="J162" s="20">
        <f t="shared" si="17"/>
        <v>0</v>
      </c>
      <c r="K162" s="20">
        <f t="shared" si="18"/>
        <v>60965.200000000012</v>
      </c>
    </row>
    <row r="163" spans="2:13" ht="18.75" x14ac:dyDescent="0.3">
      <c r="B163" s="49">
        <v>44377</v>
      </c>
      <c r="C163" s="43" t="s">
        <v>84</v>
      </c>
      <c r="D163" s="34"/>
      <c r="E163" s="18"/>
      <c r="F163" s="18"/>
      <c r="G163" s="18"/>
      <c r="H163" s="18">
        <v>4500</v>
      </c>
      <c r="I163" s="19"/>
      <c r="J163" s="20">
        <f t="shared" si="17"/>
        <v>0</v>
      </c>
      <c r="K163" s="20">
        <f t="shared" si="18"/>
        <v>56465.200000000012</v>
      </c>
    </row>
    <row r="164" spans="2:13" ht="19.5" thickBot="1" x14ac:dyDescent="0.35">
      <c r="B164" s="49"/>
      <c r="C164" s="21"/>
      <c r="D164" s="34"/>
      <c r="E164" s="18"/>
      <c r="F164" s="18"/>
      <c r="G164" s="18"/>
      <c r="H164" s="18"/>
      <c r="I164" s="19"/>
      <c r="J164" s="20">
        <f t="shared" si="17"/>
        <v>0</v>
      </c>
      <c r="K164" s="20">
        <f t="shared" si="18"/>
        <v>56465.200000000012</v>
      </c>
      <c r="M164" s="92">
        <v>55965.2</v>
      </c>
    </row>
    <row r="165" spans="2:13" ht="19.5" thickBot="1" x14ac:dyDescent="0.35">
      <c r="B165" s="25"/>
      <c r="C165" s="26" t="s">
        <v>0</v>
      </c>
      <c r="D165" s="27">
        <f>SUM(D99:D164)</f>
        <v>325950</v>
      </c>
      <c r="E165" s="28">
        <f>SUM(E99:E164)</f>
        <v>0</v>
      </c>
      <c r="F165" s="29">
        <f>SUM(D165:E165)</f>
        <v>325950</v>
      </c>
      <c r="G165" s="30">
        <f>SUM(G60:G104)</f>
        <v>0</v>
      </c>
      <c r="H165" s="27">
        <f>SUM(H99:H164)</f>
        <v>387048.45</v>
      </c>
      <c r="I165" s="29">
        <f>SUM(G165:H165)</f>
        <v>387048.45</v>
      </c>
      <c r="J165" s="31"/>
      <c r="K165" s="31"/>
    </row>
    <row r="166" spans="2:13" ht="19.5" thickBot="1" x14ac:dyDescent="0.35"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2:13" ht="19.5" thickBot="1" x14ac:dyDescent="0.35">
      <c r="B167" s="5"/>
      <c r="C167" s="5"/>
      <c r="D167" s="5"/>
      <c r="E167" s="5"/>
      <c r="F167" s="5"/>
      <c r="G167" s="5"/>
      <c r="H167" s="5"/>
      <c r="I167" s="35" t="s">
        <v>7</v>
      </c>
      <c r="J167" s="35" t="s">
        <v>6</v>
      </c>
      <c r="K167" s="36" t="s">
        <v>0</v>
      </c>
    </row>
    <row r="168" spans="2:13" ht="19.5" thickBot="1" x14ac:dyDescent="0.35">
      <c r="B168" s="5"/>
      <c r="C168" s="5"/>
      <c r="D168" s="5"/>
      <c r="E168" s="5"/>
      <c r="F168" s="5"/>
      <c r="G168" s="5"/>
      <c r="H168" s="5"/>
      <c r="I168" s="37">
        <v>56465.2</v>
      </c>
      <c r="J168" s="37">
        <v>0</v>
      </c>
      <c r="K168" s="31">
        <f>SUM(I168:J168)</f>
        <v>56465.2</v>
      </c>
    </row>
    <row r="169" spans="2:13" ht="18.75" x14ac:dyDescent="0.3">
      <c r="B169" s="5"/>
      <c r="C169" s="5"/>
      <c r="D169" s="5"/>
      <c r="E169" s="5"/>
      <c r="F169" s="5"/>
      <c r="G169" s="5"/>
      <c r="H169" s="5"/>
      <c r="I169" s="5"/>
      <c r="J169" s="5"/>
      <c r="K169" s="5"/>
    </row>
  </sheetData>
  <printOptions verticalCentered="1"/>
  <pageMargins left="0.23622047244094491" right="0.23622047244094491" top="0.19685039370078741" bottom="0" header="0.31496062992125984" footer="0.31496062992125984"/>
  <pageSetup paperSize="9" scale="66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>
    <pageSetUpPr fitToPage="1"/>
  </sheetPr>
  <dimension ref="A1:N191"/>
  <sheetViews>
    <sheetView zoomScale="80" zoomScaleNormal="80" workbookViewId="0">
      <pane ySplit="3" topLeftCell="A168" activePane="bottomLeft" state="frozen"/>
      <selection pane="bottomLeft" activeCell="C177" sqref="C177"/>
    </sheetView>
  </sheetViews>
  <sheetFormatPr baseColWidth="10" defaultRowHeight="15" x14ac:dyDescent="0.25"/>
  <cols>
    <col min="1" max="1" width="2" customWidth="1"/>
    <col min="2" max="2" width="13.7109375" customWidth="1"/>
    <col min="3" max="3" width="87.7109375" customWidth="1"/>
    <col min="4" max="4" width="13" customWidth="1"/>
    <col min="5" max="5" width="11.7109375" customWidth="1"/>
    <col min="6" max="6" width="12.85546875" customWidth="1"/>
    <col min="7" max="7" width="11.7109375" customWidth="1"/>
    <col min="8" max="8" width="13" customWidth="1"/>
    <col min="9" max="9" width="12.5703125" customWidth="1"/>
    <col min="10" max="11" width="13" customWidth="1"/>
  </cols>
  <sheetData>
    <row r="1" spans="2:11" ht="19.5" thickBot="1" x14ac:dyDescent="0.35">
      <c r="B1" s="39"/>
      <c r="C1" s="6" t="s">
        <v>22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44377</v>
      </c>
      <c r="C4" s="12" t="s">
        <v>23</v>
      </c>
      <c r="D4" s="13"/>
      <c r="E4" s="14"/>
      <c r="F4" s="14"/>
      <c r="G4" s="14"/>
      <c r="H4" s="15"/>
      <c r="I4" s="16"/>
      <c r="J4" s="53">
        <v>0</v>
      </c>
      <c r="K4" s="53">
        <v>56465.2</v>
      </c>
    </row>
    <row r="5" spans="2:11" ht="18.75" x14ac:dyDescent="0.3">
      <c r="B5" s="11">
        <v>44378</v>
      </c>
      <c r="C5" s="40" t="s">
        <v>523</v>
      </c>
      <c r="D5" s="13"/>
      <c r="E5" s="14"/>
      <c r="F5" s="14"/>
      <c r="G5" s="14"/>
      <c r="H5" s="15">
        <v>100</v>
      </c>
      <c r="I5" s="16"/>
      <c r="J5" s="20">
        <f>+J4+E5-G5</f>
        <v>0</v>
      </c>
      <c r="K5" s="20">
        <f>+K4+D5-H5</f>
        <v>56365.2</v>
      </c>
    </row>
    <row r="6" spans="2:11" ht="18.75" x14ac:dyDescent="0.3">
      <c r="B6" s="11">
        <v>37073</v>
      </c>
      <c r="C6" s="17" t="s">
        <v>524</v>
      </c>
      <c r="D6" s="34"/>
      <c r="E6" s="18"/>
      <c r="F6" s="18"/>
      <c r="G6" s="18"/>
      <c r="H6" s="18">
        <v>170</v>
      </c>
      <c r="I6" s="19"/>
      <c r="J6" s="20">
        <f t="shared" ref="J6:J46" si="0">+J5+E6-G6</f>
        <v>0</v>
      </c>
      <c r="K6" s="20">
        <f t="shared" ref="K6:K46" si="1">+K5+D6-H6</f>
        <v>56195.199999999997</v>
      </c>
    </row>
    <row r="7" spans="2:11" ht="18.75" x14ac:dyDescent="0.3">
      <c r="B7" s="22">
        <v>44378</v>
      </c>
      <c r="C7" s="21" t="s">
        <v>525</v>
      </c>
      <c r="D7" s="34"/>
      <c r="E7" s="18"/>
      <c r="F7" s="18"/>
      <c r="G7" s="18"/>
      <c r="H7" s="15">
        <v>273</v>
      </c>
      <c r="I7" s="19"/>
      <c r="J7" s="20">
        <f t="shared" si="0"/>
        <v>0</v>
      </c>
      <c r="K7" s="20">
        <f t="shared" si="1"/>
        <v>55922.2</v>
      </c>
    </row>
    <row r="8" spans="2:11" ht="18.75" x14ac:dyDescent="0.3">
      <c r="B8" s="22">
        <v>44378</v>
      </c>
      <c r="C8" s="41" t="s">
        <v>526</v>
      </c>
      <c r="D8" s="34"/>
      <c r="E8" s="18"/>
      <c r="F8" s="18"/>
      <c r="G8" s="18"/>
      <c r="H8" s="18">
        <v>310</v>
      </c>
      <c r="I8" s="19"/>
      <c r="J8" s="20">
        <f t="shared" si="0"/>
        <v>0</v>
      </c>
      <c r="K8" s="20">
        <f t="shared" si="1"/>
        <v>55612.2</v>
      </c>
    </row>
    <row r="9" spans="2:11" ht="18.75" x14ac:dyDescent="0.3">
      <c r="B9" s="22">
        <v>44378</v>
      </c>
      <c r="C9" s="21" t="s">
        <v>527</v>
      </c>
      <c r="D9" s="34"/>
      <c r="E9" s="18"/>
      <c r="F9" s="18"/>
      <c r="G9" s="18"/>
      <c r="H9" s="15">
        <v>50</v>
      </c>
      <c r="I9" s="19"/>
      <c r="J9" s="20">
        <f t="shared" si="0"/>
        <v>0</v>
      </c>
      <c r="K9" s="20">
        <f t="shared" si="1"/>
        <v>55562.2</v>
      </c>
    </row>
    <row r="10" spans="2:11" ht="18.75" x14ac:dyDescent="0.3">
      <c r="B10" s="22">
        <v>44379</v>
      </c>
      <c r="C10" s="21" t="s">
        <v>603</v>
      </c>
      <c r="D10" s="34"/>
      <c r="E10" s="18"/>
      <c r="F10" s="18"/>
      <c r="G10" s="18"/>
      <c r="H10" s="15">
        <v>200</v>
      </c>
      <c r="I10" s="19"/>
      <c r="J10" s="20">
        <f t="shared" si="0"/>
        <v>0</v>
      </c>
      <c r="K10" s="20">
        <f t="shared" si="1"/>
        <v>55362.2</v>
      </c>
    </row>
    <row r="11" spans="2:11" ht="18.75" x14ac:dyDescent="0.3">
      <c r="B11" s="22">
        <v>44379</v>
      </c>
      <c r="C11" s="41" t="s">
        <v>528</v>
      </c>
      <c r="D11" s="34"/>
      <c r="E11" s="18"/>
      <c r="F11" s="18"/>
      <c r="G11" s="18"/>
      <c r="H11" s="18">
        <v>150</v>
      </c>
      <c r="I11" s="19"/>
      <c r="J11" s="20">
        <f t="shared" si="0"/>
        <v>0</v>
      </c>
      <c r="K11" s="20">
        <f t="shared" si="1"/>
        <v>55212.2</v>
      </c>
    </row>
    <row r="12" spans="2:11" ht="18.75" x14ac:dyDescent="0.3">
      <c r="B12" s="22">
        <v>44379</v>
      </c>
      <c r="C12" s="24" t="s">
        <v>529</v>
      </c>
      <c r="D12" s="34"/>
      <c r="E12" s="18"/>
      <c r="F12" s="18"/>
      <c r="G12" s="18"/>
      <c r="H12" s="18">
        <v>650</v>
      </c>
      <c r="I12" s="19"/>
      <c r="J12" s="20">
        <f t="shared" si="0"/>
        <v>0</v>
      </c>
      <c r="K12" s="20">
        <f t="shared" si="1"/>
        <v>54562.2</v>
      </c>
    </row>
    <row r="13" spans="2:11" ht="18.75" x14ac:dyDescent="0.3">
      <c r="B13" s="22">
        <v>44380</v>
      </c>
      <c r="C13" s="21" t="s">
        <v>529</v>
      </c>
      <c r="D13" s="34"/>
      <c r="E13" s="18"/>
      <c r="F13" s="18"/>
      <c r="G13" s="18"/>
      <c r="H13" s="18">
        <v>450</v>
      </c>
      <c r="I13" s="19"/>
      <c r="J13" s="20">
        <f t="shared" si="0"/>
        <v>0</v>
      </c>
      <c r="K13" s="20">
        <f t="shared" si="1"/>
        <v>54112.2</v>
      </c>
    </row>
    <row r="14" spans="2:11" ht="18.75" x14ac:dyDescent="0.3">
      <c r="B14" s="22">
        <v>44380</v>
      </c>
      <c r="C14" s="21" t="s">
        <v>530</v>
      </c>
      <c r="D14" s="34"/>
      <c r="E14" s="18"/>
      <c r="F14" s="18"/>
      <c r="G14" s="18"/>
      <c r="H14" s="18">
        <v>250</v>
      </c>
      <c r="I14" s="19"/>
      <c r="J14" s="20">
        <f t="shared" si="0"/>
        <v>0</v>
      </c>
      <c r="K14" s="20">
        <f t="shared" si="1"/>
        <v>53862.2</v>
      </c>
    </row>
    <row r="15" spans="2:11" ht="18.75" x14ac:dyDescent="0.3">
      <c r="B15" s="22">
        <v>37075</v>
      </c>
      <c r="C15" s="21" t="s">
        <v>531</v>
      </c>
      <c r="D15" s="34"/>
      <c r="E15" s="18"/>
      <c r="F15" s="18"/>
      <c r="G15" s="18"/>
      <c r="H15" s="18">
        <v>250</v>
      </c>
      <c r="I15" s="19"/>
      <c r="J15" s="20">
        <f t="shared" si="0"/>
        <v>0</v>
      </c>
      <c r="K15" s="20">
        <f t="shared" si="1"/>
        <v>53612.2</v>
      </c>
    </row>
    <row r="16" spans="2:11" ht="18.75" x14ac:dyDescent="0.3">
      <c r="B16" s="22">
        <v>37075</v>
      </c>
      <c r="C16" s="41" t="s">
        <v>527</v>
      </c>
      <c r="D16" s="34"/>
      <c r="E16" s="18"/>
      <c r="F16" s="18"/>
      <c r="G16" s="18"/>
      <c r="H16" s="18">
        <v>210</v>
      </c>
      <c r="I16" s="19"/>
      <c r="J16" s="20">
        <f t="shared" si="0"/>
        <v>0</v>
      </c>
      <c r="K16" s="20">
        <f t="shared" si="1"/>
        <v>53402.2</v>
      </c>
    </row>
    <row r="17" spans="2:13" ht="18.75" x14ac:dyDescent="0.3">
      <c r="B17" s="22">
        <v>37075</v>
      </c>
      <c r="C17" s="21" t="s">
        <v>64</v>
      </c>
      <c r="D17" s="34"/>
      <c r="E17" s="18"/>
      <c r="F17" s="18"/>
      <c r="G17" s="18"/>
      <c r="H17" s="18">
        <v>40</v>
      </c>
      <c r="I17" s="19"/>
      <c r="J17" s="20">
        <f t="shared" si="0"/>
        <v>0</v>
      </c>
      <c r="K17" s="20">
        <f t="shared" si="1"/>
        <v>53362.2</v>
      </c>
    </row>
    <row r="18" spans="2:13" ht="18.75" x14ac:dyDescent="0.3">
      <c r="B18" s="22">
        <v>44380</v>
      </c>
      <c r="C18" s="21" t="s">
        <v>532</v>
      </c>
      <c r="D18" s="34"/>
      <c r="E18" s="18"/>
      <c r="F18" s="18"/>
      <c r="G18" s="18"/>
      <c r="H18" s="18">
        <v>96</v>
      </c>
      <c r="I18" s="19"/>
      <c r="J18" s="20">
        <f t="shared" si="0"/>
        <v>0</v>
      </c>
      <c r="K18" s="20">
        <f t="shared" si="1"/>
        <v>53266.2</v>
      </c>
    </row>
    <row r="19" spans="2:13" ht="18.75" x14ac:dyDescent="0.3">
      <c r="B19" s="22">
        <v>44381</v>
      </c>
      <c r="C19" s="21" t="s">
        <v>533</v>
      </c>
      <c r="D19" s="34">
        <v>52525</v>
      </c>
      <c r="E19" s="18"/>
      <c r="F19" s="18"/>
      <c r="G19" s="18"/>
      <c r="H19" s="18"/>
      <c r="I19" s="19"/>
      <c r="J19" s="20">
        <f t="shared" si="0"/>
        <v>0</v>
      </c>
      <c r="K19" s="20">
        <f t="shared" si="1"/>
        <v>105791.2</v>
      </c>
    </row>
    <row r="20" spans="2:13" ht="18.75" x14ac:dyDescent="0.3">
      <c r="B20" s="22">
        <v>37076</v>
      </c>
      <c r="C20" s="21" t="s">
        <v>534</v>
      </c>
      <c r="D20" s="34"/>
      <c r="E20" s="18"/>
      <c r="F20" s="18"/>
      <c r="G20" s="18"/>
      <c r="H20" s="18">
        <v>100</v>
      </c>
      <c r="I20" s="19"/>
      <c r="J20" s="20">
        <f t="shared" si="0"/>
        <v>0</v>
      </c>
      <c r="K20" s="20">
        <f t="shared" si="1"/>
        <v>105691.2</v>
      </c>
    </row>
    <row r="21" spans="2:13" ht="18.75" x14ac:dyDescent="0.3">
      <c r="B21" s="22">
        <v>37076</v>
      </c>
      <c r="C21" s="21" t="s">
        <v>535</v>
      </c>
      <c r="D21" s="34"/>
      <c r="E21" s="18"/>
      <c r="F21" s="18"/>
      <c r="G21" s="18"/>
      <c r="H21" s="18">
        <v>250</v>
      </c>
      <c r="I21" s="19"/>
      <c r="J21" s="20">
        <f t="shared" si="0"/>
        <v>0</v>
      </c>
      <c r="K21" s="20">
        <f t="shared" si="1"/>
        <v>105441.2</v>
      </c>
    </row>
    <row r="22" spans="2:13" ht="18.75" x14ac:dyDescent="0.3">
      <c r="B22" s="22">
        <v>37076</v>
      </c>
      <c r="C22" s="21" t="s">
        <v>464</v>
      </c>
      <c r="D22" s="34"/>
      <c r="E22" s="18"/>
      <c r="F22" s="18"/>
      <c r="G22" s="18"/>
      <c r="H22" s="18">
        <v>100</v>
      </c>
      <c r="I22" s="19"/>
      <c r="J22" s="20">
        <f t="shared" si="0"/>
        <v>0</v>
      </c>
      <c r="K22" s="20">
        <f t="shared" si="1"/>
        <v>105341.2</v>
      </c>
    </row>
    <row r="23" spans="2:13" ht="18.75" x14ac:dyDescent="0.3">
      <c r="B23" s="22">
        <v>37076</v>
      </c>
      <c r="C23" s="21" t="s">
        <v>536</v>
      </c>
      <c r="D23" s="34"/>
      <c r="E23" s="18"/>
      <c r="F23" s="18"/>
      <c r="G23" s="18"/>
      <c r="H23" s="18">
        <v>250</v>
      </c>
      <c r="I23" s="19"/>
      <c r="J23" s="20">
        <f t="shared" si="0"/>
        <v>0</v>
      </c>
      <c r="K23" s="20">
        <f t="shared" si="1"/>
        <v>105091.2</v>
      </c>
    </row>
    <row r="24" spans="2:13" ht="18.75" x14ac:dyDescent="0.3">
      <c r="B24" s="22">
        <v>37076</v>
      </c>
      <c r="C24" s="21" t="s">
        <v>537</v>
      </c>
      <c r="D24" s="34"/>
      <c r="E24" s="34"/>
      <c r="F24" s="18"/>
      <c r="G24" s="18"/>
      <c r="H24" s="18">
        <v>150</v>
      </c>
      <c r="I24" s="19"/>
      <c r="J24" s="20">
        <f t="shared" si="0"/>
        <v>0</v>
      </c>
      <c r="K24" s="20">
        <f t="shared" si="1"/>
        <v>104941.2</v>
      </c>
    </row>
    <row r="25" spans="2:13" ht="18.75" x14ac:dyDescent="0.3">
      <c r="B25" s="22">
        <v>37077</v>
      </c>
      <c r="C25" s="21" t="s">
        <v>538</v>
      </c>
      <c r="D25" s="34"/>
      <c r="E25" s="34"/>
      <c r="F25" s="18"/>
      <c r="G25" s="18"/>
      <c r="H25" s="18">
        <v>300</v>
      </c>
      <c r="I25" s="19"/>
      <c r="J25" s="20">
        <f t="shared" si="0"/>
        <v>0</v>
      </c>
      <c r="K25" s="20">
        <f t="shared" si="1"/>
        <v>104641.2</v>
      </c>
    </row>
    <row r="26" spans="2:13" ht="18.75" x14ac:dyDescent="0.3">
      <c r="B26" s="42">
        <v>44382</v>
      </c>
      <c r="C26" s="21" t="s">
        <v>529</v>
      </c>
      <c r="D26" s="34"/>
      <c r="E26" s="34"/>
      <c r="F26" s="18"/>
      <c r="G26" s="18"/>
      <c r="H26" s="18">
        <v>650</v>
      </c>
      <c r="I26" s="19"/>
      <c r="J26" s="20">
        <f t="shared" si="0"/>
        <v>0</v>
      </c>
      <c r="K26" s="20">
        <f t="shared" si="1"/>
        <v>103991.2</v>
      </c>
    </row>
    <row r="27" spans="2:13" ht="18.75" x14ac:dyDescent="0.3">
      <c r="B27" s="46">
        <v>44382</v>
      </c>
      <c r="C27" s="21" t="s">
        <v>530</v>
      </c>
      <c r="D27" s="34"/>
      <c r="E27" s="34"/>
      <c r="F27" s="34"/>
      <c r="G27" s="18"/>
      <c r="H27" s="18">
        <v>200</v>
      </c>
      <c r="I27" s="19"/>
      <c r="J27" s="20">
        <f t="shared" si="0"/>
        <v>0</v>
      </c>
      <c r="K27" s="20">
        <f t="shared" si="1"/>
        <v>103791.2</v>
      </c>
    </row>
    <row r="28" spans="2:13" ht="18.75" x14ac:dyDescent="0.3">
      <c r="B28" s="44">
        <v>44382</v>
      </c>
      <c r="C28" s="33" t="s">
        <v>425</v>
      </c>
      <c r="D28" s="34"/>
      <c r="E28" s="34"/>
      <c r="F28" s="34"/>
      <c r="G28" s="34"/>
      <c r="H28" s="18">
        <v>168</v>
      </c>
      <c r="I28" s="19"/>
      <c r="J28" s="20">
        <f t="shared" si="0"/>
        <v>0</v>
      </c>
      <c r="K28" s="20">
        <f t="shared" si="1"/>
        <v>103623.2</v>
      </c>
    </row>
    <row r="29" spans="2:13" ht="18.75" x14ac:dyDescent="0.3">
      <c r="B29" s="42">
        <v>44382</v>
      </c>
      <c r="C29" s="33" t="s">
        <v>539</v>
      </c>
      <c r="D29" s="34"/>
      <c r="E29" s="18"/>
      <c r="F29" s="18"/>
      <c r="G29" s="18"/>
      <c r="H29" s="18">
        <v>113</v>
      </c>
      <c r="I29" s="19"/>
      <c r="J29" s="20">
        <f t="shared" si="0"/>
        <v>0</v>
      </c>
      <c r="K29" s="20">
        <f t="shared" si="1"/>
        <v>103510.2</v>
      </c>
      <c r="M29" s="1">
        <f>SUM(H5:H29)</f>
        <v>5480</v>
      </c>
    </row>
    <row r="30" spans="2:13" ht="18.75" x14ac:dyDescent="0.3">
      <c r="B30" s="42">
        <v>44383</v>
      </c>
      <c r="C30" s="33" t="s">
        <v>540</v>
      </c>
      <c r="D30" s="34"/>
      <c r="E30" s="18"/>
      <c r="F30" s="18"/>
      <c r="G30" s="18"/>
      <c r="H30" s="18">
        <v>260</v>
      </c>
      <c r="I30" s="19"/>
      <c r="J30" s="20">
        <f t="shared" si="0"/>
        <v>0</v>
      </c>
      <c r="K30" s="20">
        <f t="shared" si="1"/>
        <v>103250.2</v>
      </c>
    </row>
    <row r="31" spans="2:13" ht="18.75" x14ac:dyDescent="0.3">
      <c r="B31" s="42">
        <v>44383</v>
      </c>
      <c r="C31" s="33" t="s">
        <v>524</v>
      </c>
      <c r="D31" s="34"/>
      <c r="E31" s="18"/>
      <c r="F31" s="18"/>
      <c r="G31" s="18"/>
      <c r="H31" s="18">
        <v>130</v>
      </c>
      <c r="I31" s="19"/>
      <c r="J31" s="20">
        <f t="shared" si="0"/>
        <v>0</v>
      </c>
      <c r="K31" s="20">
        <f t="shared" si="1"/>
        <v>103120.2</v>
      </c>
    </row>
    <row r="32" spans="2:13" ht="18.75" x14ac:dyDescent="0.3">
      <c r="B32" s="42">
        <v>44383</v>
      </c>
      <c r="C32" s="33" t="s">
        <v>541</v>
      </c>
      <c r="D32" s="34"/>
      <c r="E32" s="18"/>
      <c r="F32" s="18"/>
      <c r="G32" s="18"/>
      <c r="H32" s="18">
        <v>600</v>
      </c>
      <c r="I32" s="19"/>
      <c r="J32" s="20">
        <f t="shared" si="0"/>
        <v>0</v>
      </c>
      <c r="K32" s="20">
        <f t="shared" si="1"/>
        <v>102520.2</v>
      </c>
    </row>
    <row r="33" spans="2:11" ht="18.75" x14ac:dyDescent="0.3">
      <c r="B33" s="49">
        <v>44384</v>
      </c>
      <c r="C33" s="51" t="s">
        <v>541</v>
      </c>
      <c r="D33" s="34"/>
      <c r="E33" s="18"/>
      <c r="F33" s="18"/>
      <c r="G33" s="18"/>
      <c r="H33" s="18">
        <v>500</v>
      </c>
      <c r="I33" s="19"/>
      <c r="J33" s="20">
        <f t="shared" si="0"/>
        <v>0</v>
      </c>
      <c r="K33" s="20">
        <f t="shared" si="1"/>
        <v>102020.2</v>
      </c>
    </row>
    <row r="34" spans="2:11" ht="18.75" x14ac:dyDescent="0.3">
      <c r="B34" s="42">
        <v>44384</v>
      </c>
      <c r="C34" s="33" t="s">
        <v>542</v>
      </c>
      <c r="D34" s="34"/>
      <c r="E34" s="18"/>
      <c r="F34" s="18"/>
      <c r="G34" s="18"/>
      <c r="H34" s="18">
        <v>200.9</v>
      </c>
      <c r="I34" s="19"/>
      <c r="J34" s="20">
        <f t="shared" si="0"/>
        <v>0</v>
      </c>
      <c r="K34" s="20">
        <f t="shared" si="1"/>
        <v>101819.3</v>
      </c>
    </row>
    <row r="35" spans="2:11" ht="18.75" x14ac:dyDescent="0.3">
      <c r="B35" s="57">
        <v>44384</v>
      </c>
      <c r="C35" s="43" t="s">
        <v>543</v>
      </c>
      <c r="D35" s="34"/>
      <c r="E35" s="18"/>
      <c r="F35" s="18"/>
      <c r="G35" s="18"/>
      <c r="H35" s="18">
        <v>15</v>
      </c>
      <c r="I35" s="19"/>
      <c r="J35" s="20">
        <f t="shared" si="0"/>
        <v>0</v>
      </c>
      <c r="K35" s="20">
        <f t="shared" si="1"/>
        <v>101804.3</v>
      </c>
    </row>
    <row r="36" spans="2:11" ht="18.75" x14ac:dyDescent="0.3">
      <c r="B36" s="42">
        <v>44381</v>
      </c>
      <c r="C36" s="56" t="s">
        <v>544</v>
      </c>
      <c r="D36" s="34"/>
      <c r="E36" s="18"/>
      <c r="F36" s="18"/>
      <c r="G36" s="18"/>
      <c r="H36" s="18">
        <v>110.58</v>
      </c>
      <c r="I36" s="19"/>
      <c r="J36" s="20">
        <f t="shared" si="0"/>
        <v>0</v>
      </c>
      <c r="K36" s="20">
        <f t="shared" si="1"/>
        <v>101693.72</v>
      </c>
    </row>
    <row r="37" spans="2:11" ht="18.75" x14ac:dyDescent="0.3">
      <c r="B37" s="47">
        <v>44384</v>
      </c>
      <c r="C37" s="33" t="s">
        <v>545</v>
      </c>
      <c r="D37" s="34"/>
      <c r="E37" s="18"/>
      <c r="F37" s="18"/>
      <c r="G37" s="18"/>
      <c r="H37" s="18">
        <v>778</v>
      </c>
      <c r="I37" s="19"/>
      <c r="J37" s="20">
        <f t="shared" si="0"/>
        <v>0</v>
      </c>
      <c r="K37" s="20">
        <f t="shared" si="1"/>
        <v>100915.72</v>
      </c>
    </row>
    <row r="38" spans="2:11" ht="18.75" x14ac:dyDescent="0.3">
      <c r="B38" s="42">
        <v>44385</v>
      </c>
      <c r="C38" s="33" t="s">
        <v>546</v>
      </c>
      <c r="D38" s="34"/>
      <c r="E38" s="18"/>
      <c r="F38" s="18"/>
      <c r="G38" s="18"/>
      <c r="H38" s="18">
        <v>600</v>
      </c>
      <c r="I38" s="19"/>
      <c r="J38" s="20">
        <f t="shared" si="0"/>
        <v>0</v>
      </c>
      <c r="K38" s="20">
        <f t="shared" si="1"/>
        <v>100315.72</v>
      </c>
    </row>
    <row r="39" spans="2:11" ht="18.75" x14ac:dyDescent="0.3">
      <c r="B39" s="42">
        <v>44385</v>
      </c>
      <c r="C39" s="32" t="s">
        <v>547</v>
      </c>
      <c r="D39" s="34"/>
      <c r="E39" s="18"/>
      <c r="F39" s="18"/>
      <c r="G39" s="18"/>
      <c r="H39" s="18">
        <v>400</v>
      </c>
      <c r="I39" s="19"/>
      <c r="J39" s="20">
        <f t="shared" si="0"/>
        <v>0</v>
      </c>
      <c r="K39" s="20">
        <f t="shared" si="1"/>
        <v>99915.72</v>
      </c>
    </row>
    <row r="40" spans="2:11" ht="18.75" x14ac:dyDescent="0.3">
      <c r="B40" s="42">
        <v>44385</v>
      </c>
      <c r="C40" s="33" t="s">
        <v>548</v>
      </c>
      <c r="D40" s="34"/>
      <c r="E40" s="18"/>
      <c r="F40" s="18"/>
      <c r="G40" s="18"/>
      <c r="H40" s="18">
        <v>500</v>
      </c>
      <c r="I40" s="19"/>
      <c r="J40" s="20">
        <f t="shared" si="0"/>
        <v>0</v>
      </c>
      <c r="K40" s="20">
        <f t="shared" si="1"/>
        <v>99415.72</v>
      </c>
    </row>
    <row r="41" spans="2:11" ht="18.75" x14ac:dyDescent="0.3">
      <c r="B41" s="42">
        <v>44386</v>
      </c>
      <c r="C41" s="43" t="s">
        <v>549</v>
      </c>
      <c r="D41" s="34"/>
      <c r="E41" s="18"/>
      <c r="F41" s="18"/>
      <c r="G41" s="18"/>
      <c r="H41" s="18">
        <v>200</v>
      </c>
      <c r="I41" s="19"/>
      <c r="J41" s="20">
        <f t="shared" si="0"/>
        <v>0</v>
      </c>
      <c r="K41" s="20">
        <f t="shared" si="1"/>
        <v>99215.72</v>
      </c>
    </row>
    <row r="42" spans="2:11" ht="18.75" x14ac:dyDescent="0.3">
      <c r="B42" s="42">
        <v>44386</v>
      </c>
      <c r="C42" s="54" t="s">
        <v>550</v>
      </c>
      <c r="D42" s="34"/>
      <c r="E42" s="18"/>
      <c r="F42" s="18"/>
      <c r="G42" s="18"/>
      <c r="H42" s="18">
        <v>62.8</v>
      </c>
      <c r="I42" s="19"/>
      <c r="J42" s="20">
        <f t="shared" si="0"/>
        <v>0</v>
      </c>
      <c r="K42" s="20">
        <f t="shared" si="1"/>
        <v>99152.92</v>
      </c>
    </row>
    <row r="43" spans="2:11" ht="18.75" x14ac:dyDescent="0.3">
      <c r="B43" s="42">
        <v>44386</v>
      </c>
      <c r="C43" s="21" t="s">
        <v>380</v>
      </c>
      <c r="D43" s="34"/>
      <c r="E43" s="18"/>
      <c r="F43" s="18"/>
      <c r="G43" s="18"/>
      <c r="H43" s="18">
        <v>84</v>
      </c>
      <c r="I43" s="19"/>
      <c r="J43" s="20">
        <f t="shared" si="0"/>
        <v>0</v>
      </c>
      <c r="K43" s="20">
        <f t="shared" si="1"/>
        <v>99068.92</v>
      </c>
    </row>
    <row r="44" spans="2:11" ht="18.75" x14ac:dyDescent="0.3">
      <c r="B44" s="42">
        <v>44386</v>
      </c>
      <c r="C44" s="21" t="s">
        <v>551</v>
      </c>
      <c r="D44" s="34"/>
      <c r="E44" s="18"/>
      <c r="F44" s="18"/>
      <c r="G44" s="18"/>
      <c r="H44" s="18">
        <v>200</v>
      </c>
      <c r="I44" s="19"/>
      <c r="J44" s="20">
        <f t="shared" si="0"/>
        <v>0</v>
      </c>
      <c r="K44" s="20">
        <f t="shared" si="1"/>
        <v>98868.92</v>
      </c>
    </row>
    <row r="45" spans="2:11" ht="18.75" x14ac:dyDescent="0.3">
      <c r="B45" s="42">
        <v>44386</v>
      </c>
      <c r="C45" s="33" t="s">
        <v>529</v>
      </c>
      <c r="D45" s="34"/>
      <c r="E45" s="18"/>
      <c r="F45" s="18"/>
      <c r="G45" s="18"/>
      <c r="H45" s="18">
        <v>700</v>
      </c>
      <c r="I45" s="19"/>
      <c r="J45" s="20">
        <f t="shared" si="0"/>
        <v>0</v>
      </c>
      <c r="K45" s="20">
        <f t="shared" si="1"/>
        <v>98168.92</v>
      </c>
    </row>
    <row r="46" spans="2:11" ht="19.5" thickBot="1" x14ac:dyDescent="0.35">
      <c r="B46" s="42">
        <v>44386</v>
      </c>
      <c r="C46" s="33" t="s">
        <v>552</v>
      </c>
      <c r="D46" s="34"/>
      <c r="E46" s="18"/>
      <c r="F46" s="18"/>
      <c r="G46" s="18"/>
      <c r="H46" s="18">
        <v>250</v>
      </c>
      <c r="I46" s="19"/>
      <c r="J46" s="20">
        <f t="shared" si="0"/>
        <v>0</v>
      </c>
      <c r="K46" s="20">
        <f t="shared" si="1"/>
        <v>97918.92</v>
      </c>
    </row>
    <row r="47" spans="2:11" ht="19.5" thickBot="1" x14ac:dyDescent="0.35">
      <c r="B47" s="25"/>
      <c r="C47" s="26" t="s">
        <v>0</v>
      </c>
      <c r="D47" s="27">
        <f>SUM(D4:D46)</f>
        <v>52525</v>
      </c>
      <c r="E47" s="28">
        <f>SUM(E4:E46)</f>
        <v>0</v>
      </c>
      <c r="F47" s="29">
        <f>SUM(D47:E47)</f>
        <v>52525</v>
      </c>
      <c r="G47" s="30">
        <f>SUM(G4:G46)</f>
        <v>0</v>
      </c>
      <c r="H47" s="27">
        <f>SUM(H4:H46)</f>
        <v>11071.279999999999</v>
      </c>
      <c r="I47" s="29">
        <f>SUM(G47:H47)</f>
        <v>11071.279999999999</v>
      </c>
      <c r="J47" s="20"/>
      <c r="K47" s="20"/>
    </row>
    <row r="48" spans="2:11" ht="18.75" x14ac:dyDescent="0.3">
      <c r="B48" s="7" t="s">
        <v>1</v>
      </c>
      <c r="C48" s="7" t="s">
        <v>2</v>
      </c>
      <c r="D48" s="7" t="s">
        <v>3</v>
      </c>
      <c r="E48" s="7" t="s">
        <v>3</v>
      </c>
      <c r="F48" s="7" t="s">
        <v>8</v>
      </c>
      <c r="G48" s="7" t="s">
        <v>9</v>
      </c>
      <c r="H48" s="8" t="s">
        <v>9</v>
      </c>
      <c r="I48" s="8" t="s">
        <v>8</v>
      </c>
      <c r="J48" s="7" t="s">
        <v>7</v>
      </c>
      <c r="K48" s="8" t="s">
        <v>6</v>
      </c>
    </row>
    <row r="49" spans="2:13" ht="19.5" thickBot="1" x14ac:dyDescent="0.35">
      <c r="B49" s="9"/>
      <c r="C49" s="9"/>
      <c r="D49" s="9" t="s">
        <v>5</v>
      </c>
      <c r="E49" s="9" t="s">
        <v>7</v>
      </c>
      <c r="F49" s="9" t="s">
        <v>3</v>
      </c>
      <c r="G49" s="9" t="s">
        <v>7</v>
      </c>
      <c r="H49" s="10" t="s">
        <v>5</v>
      </c>
      <c r="I49" s="10" t="s">
        <v>4</v>
      </c>
      <c r="J49" s="9"/>
      <c r="K49" s="10"/>
    </row>
    <row r="50" spans="2:13" ht="19.5" thickBot="1" x14ac:dyDescent="0.35">
      <c r="B50" s="25"/>
      <c r="C50" s="26"/>
      <c r="D50" s="27">
        <v>52525</v>
      </c>
      <c r="E50" s="28">
        <v>0</v>
      </c>
      <c r="F50" s="29">
        <f>SUM(D50:E50)</f>
        <v>52525</v>
      </c>
      <c r="G50" s="30">
        <v>0</v>
      </c>
      <c r="H50" s="27">
        <v>11071.28</v>
      </c>
      <c r="I50" s="29">
        <f>SUM(G50:H50)</f>
        <v>11071.28</v>
      </c>
      <c r="J50" s="53">
        <v>0</v>
      </c>
      <c r="K50" s="53">
        <v>0</v>
      </c>
    </row>
    <row r="51" spans="2:13" ht="18.75" x14ac:dyDescent="0.3">
      <c r="B51" s="42">
        <v>44387</v>
      </c>
      <c r="C51" s="17" t="s">
        <v>529</v>
      </c>
      <c r="D51" s="34"/>
      <c r="E51" s="18"/>
      <c r="F51" s="18"/>
      <c r="G51" s="18"/>
      <c r="H51" s="18">
        <v>600</v>
      </c>
      <c r="I51" s="19"/>
      <c r="J51" s="20">
        <f>+J46+E51-G51</f>
        <v>0</v>
      </c>
      <c r="K51" s="20">
        <f>+K46+D51-H51</f>
        <v>97318.92</v>
      </c>
    </row>
    <row r="52" spans="2:13" ht="18.75" x14ac:dyDescent="0.3">
      <c r="B52" s="42">
        <v>44387</v>
      </c>
      <c r="C52" s="43" t="s">
        <v>448</v>
      </c>
      <c r="D52" s="34"/>
      <c r="E52" s="18"/>
      <c r="F52" s="18"/>
      <c r="G52" s="18"/>
      <c r="H52" s="18">
        <v>3000</v>
      </c>
      <c r="I52" s="19"/>
      <c r="J52" s="20">
        <f>+J51+E52-G52</f>
        <v>0</v>
      </c>
      <c r="K52" s="20">
        <f>+K51+D52-H52</f>
        <v>94318.92</v>
      </c>
    </row>
    <row r="53" spans="2:13" ht="18.75" x14ac:dyDescent="0.3">
      <c r="B53" s="42">
        <v>44357</v>
      </c>
      <c r="C53" s="54" t="s">
        <v>604</v>
      </c>
      <c r="D53" s="34"/>
      <c r="E53" s="18"/>
      <c r="F53" s="18"/>
      <c r="G53" s="18"/>
      <c r="H53" s="18">
        <v>1785</v>
      </c>
      <c r="I53" s="19"/>
      <c r="J53" s="20">
        <f t="shared" ref="J53:J93" si="2">+J52+E53-G53</f>
        <v>0</v>
      </c>
      <c r="K53" s="20">
        <f t="shared" ref="K53:K93" si="3">+K52+D53-H53</f>
        <v>92533.92</v>
      </c>
    </row>
    <row r="54" spans="2:13" ht="18.75" x14ac:dyDescent="0.3">
      <c r="B54" s="42">
        <v>44387</v>
      </c>
      <c r="C54" s="33" t="s">
        <v>547</v>
      </c>
      <c r="D54" s="34"/>
      <c r="E54" s="34"/>
      <c r="F54" s="34"/>
      <c r="G54" s="34"/>
      <c r="H54" s="18">
        <v>400</v>
      </c>
      <c r="I54" s="19"/>
      <c r="J54" s="20">
        <f t="shared" si="2"/>
        <v>0</v>
      </c>
      <c r="K54" s="20">
        <f t="shared" si="3"/>
        <v>92133.92</v>
      </c>
      <c r="M54">
        <v>5000</v>
      </c>
    </row>
    <row r="55" spans="2:13" ht="18.75" x14ac:dyDescent="0.3">
      <c r="B55" s="42">
        <v>44388</v>
      </c>
      <c r="C55" s="43" t="s">
        <v>530</v>
      </c>
      <c r="D55" s="18"/>
      <c r="E55" s="18"/>
      <c r="F55" s="18"/>
      <c r="G55" s="18"/>
      <c r="H55" s="18">
        <v>250</v>
      </c>
      <c r="I55" s="19"/>
      <c r="J55" s="20">
        <f t="shared" si="2"/>
        <v>0</v>
      </c>
      <c r="K55" s="20">
        <f t="shared" si="3"/>
        <v>91883.92</v>
      </c>
    </row>
    <row r="56" spans="2:13" ht="18.75" x14ac:dyDescent="0.3">
      <c r="B56" s="44">
        <v>44388</v>
      </c>
      <c r="C56" s="43" t="s">
        <v>553</v>
      </c>
      <c r="D56" s="34"/>
      <c r="E56" s="18"/>
      <c r="F56" s="18"/>
      <c r="G56" s="18"/>
      <c r="H56" s="18">
        <v>62.5</v>
      </c>
      <c r="I56" s="19"/>
      <c r="J56" s="20">
        <f t="shared" si="2"/>
        <v>0</v>
      </c>
      <c r="K56" s="20">
        <f t="shared" si="3"/>
        <v>91821.42</v>
      </c>
    </row>
    <row r="57" spans="2:13" ht="18.75" x14ac:dyDescent="0.3">
      <c r="B57" s="47">
        <v>44388</v>
      </c>
      <c r="C57" s="21" t="s">
        <v>554</v>
      </c>
      <c r="D57" s="34"/>
      <c r="E57" s="34"/>
      <c r="F57" s="34"/>
      <c r="G57" s="34"/>
      <c r="H57" s="18">
        <v>150</v>
      </c>
      <c r="I57" s="19"/>
      <c r="J57" s="20">
        <f t="shared" si="2"/>
        <v>0</v>
      </c>
      <c r="K57" s="20">
        <f t="shared" si="3"/>
        <v>91671.42</v>
      </c>
      <c r="M57">
        <v>5650</v>
      </c>
    </row>
    <row r="58" spans="2:13" ht="18.75" x14ac:dyDescent="0.3">
      <c r="B58" s="42">
        <v>44388</v>
      </c>
      <c r="C58" s="43" t="s">
        <v>482</v>
      </c>
      <c r="D58" s="34"/>
      <c r="E58" s="18"/>
      <c r="F58" s="18"/>
      <c r="G58" s="18"/>
      <c r="H58" s="18">
        <v>100</v>
      </c>
      <c r="I58" s="19"/>
      <c r="J58" s="20">
        <f t="shared" si="2"/>
        <v>0</v>
      </c>
      <c r="K58" s="20">
        <f t="shared" si="3"/>
        <v>91571.42</v>
      </c>
    </row>
    <row r="59" spans="2:13" ht="18.75" x14ac:dyDescent="0.3">
      <c r="B59" s="42">
        <v>44388</v>
      </c>
      <c r="C59" s="54" t="s">
        <v>483</v>
      </c>
      <c r="D59" s="34"/>
      <c r="E59" s="18"/>
      <c r="F59" s="18"/>
      <c r="G59" s="18"/>
      <c r="H59" s="18">
        <v>200</v>
      </c>
      <c r="I59" s="19"/>
      <c r="J59" s="20">
        <f t="shared" si="2"/>
        <v>0</v>
      </c>
      <c r="K59" s="20">
        <f t="shared" si="3"/>
        <v>91371.42</v>
      </c>
    </row>
    <row r="60" spans="2:13" ht="18.75" x14ac:dyDescent="0.3">
      <c r="B60" s="42">
        <v>44388</v>
      </c>
      <c r="C60" s="21" t="s">
        <v>555</v>
      </c>
      <c r="D60" s="34"/>
      <c r="E60" s="18"/>
      <c r="F60" s="18"/>
      <c r="G60" s="18"/>
      <c r="H60" s="18">
        <v>200</v>
      </c>
      <c r="I60" s="19"/>
      <c r="J60" s="20">
        <f t="shared" si="2"/>
        <v>0</v>
      </c>
      <c r="K60" s="20">
        <f t="shared" si="3"/>
        <v>91171.42</v>
      </c>
    </row>
    <row r="61" spans="2:13" ht="18.75" x14ac:dyDescent="0.3">
      <c r="B61" s="42">
        <v>44388</v>
      </c>
      <c r="C61" s="21" t="s">
        <v>556</v>
      </c>
      <c r="D61" s="34"/>
      <c r="E61" s="18"/>
      <c r="F61" s="18"/>
      <c r="G61" s="18"/>
      <c r="H61" s="18">
        <v>300</v>
      </c>
      <c r="I61" s="19"/>
      <c r="J61" s="20">
        <f t="shared" si="2"/>
        <v>0</v>
      </c>
      <c r="K61" s="20">
        <f t="shared" si="3"/>
        <v>90871.42</v>
      </c>
    </row>
    <row r="62" spans="2:13" ht="18.75" x14ac:dyDescent="0.3">
      <c r="B62" s="42">
        <v>44388</v>
      </c>
      <c r="C62" s="54" t="s">
        <v>557</v>
      </c>
      <c r="D62" s="34"/>
      <c r="E62" s="18"/>
      <c r="F62" s="18"/>
      <c r="G62" s="18"/>
      <c r="H62" s="18">
        <v>62</v>
      </c>
      <c r="I62" s="19"/>
      <c r="J62" s="20">
        <f t="shared" si="2"/>
        <v>0</v>
      </c>
      <c r="K62" s="20">
        <f t="shared" si="3"/>
        <v>90809.42</v>
      </c>
    </row>
    <row r="63" spans="2:13" ht="18.75" x14ac:dyDescent="0.3">
      <c r="B63" s="42">
        <v>44388</v>
      </c>
      <c r="C63" s="21" t="s">
        <v>558</v>
      </c>
      <c r="D63" s="18">
        <v>51675</v>
      </c>
      <c r="E63" s="18"/>
      <c r="F63" s="18"/>
      <c r="G63" s="18"/>
      <c r="H63" s="18"/>
      <c r="I63" s="19"/>
      <c r="J63" s="20">
        <f t="shared" si="2"/>
        <v>0</v>
      </c>
      <c r="K63" s="20">
        <f t="shared" si="3"/>
        <v>142484.41999999998</v>
      </c>
    </row>
    <row r="64" spans="2:13" ht="18.75" x14ac:dyDescent="0.3">
      <c r="B64" s="42">
        <v>44389</v>
      </c>
      <c r="C64" s="43" t="s">
        <v>529</v>
      </c>
      <c r="D64" s="18"/>
      <c r="E64" s="18"/>
      <c r="F64" s="18"/>
      <c r="G64" s="18"/>
      <c r="H64" s="18">
        <v>650</v>
      </c>
      <c r="I64" s="19"/>
      <c r="J64" s="20">
        <f t="shared" si="2"/>
        <v>0</v>
      </c>
      <c r="K64" s="20">
        <f t="shared" si="3"/>
        <v>141834.41999999998</v>
      </c>
    </row>
    <row r="65" spans="2:11" ht="18.75" x14ac:dyDescent="0.3">
      <c r="B65" s="42">
        <v>44389</v>
      </c>
      <c r="C65" s="43" t="s">
        <v>559</v>
      </c>
      <c r="D65" s="18"/>
      <c r="E65" s="18"/>
      <c r="F65" s="18"/>
      <c r="G65" s="18"/>
      <c r="H65" s="18">
        <v>1570</v>
      </c>
      <c r="I65" s="19"/>
      <c r="J65" s="20">
        <f t="shared" si="2"/>
        <v>0</v>
      </c>
      <c r="K65" s="20">
        <f t="shared" si="3"/>
        <v>140264.41999999998</v>
      </c>
    </row>
    <row r="66" spans="2:11" ht="18.75" x14ac:dyDescent="0.3">
      <c r="B66" s="42">
        <v>44389</v>
      </c>
      <c r="C66" s="43" t="s">
        <v>560</v>
      </c>
      <c r="D66" s="18"/>
      <c r="E66" s="18"/>
      <c r="F66" s="18"/>
      <c r="G66" s="18"/>
      <c r="H66" s="18">
        <v>850</v>
      </c>
      <c r="I66" s="19"/>
      <c r="J66" s="20">
        <f t="shared" si="2"/>
        <v>0</v>
      </c>
      <c r="K66" s="20">
        <f t="shared" si="3"/>
        <v>139414.41999999998</v>
      </c>
    </row>
    <row r="67" spans="2:11" ht="18.75" x14ac:dyDescent="0.3">
      <c r="B67" s="42">
        <v>44389</v>
      </c>
      <c r="C67" s="43" t="s">
        <v>561</v>
      </c>
      <c r="D67" s="18"/>
      <c r="E67" s="18"/>
      <c r="F67" s="18"/>
      <c r="G67" s="18"/>
      <c r="H67" s="18">
        <v>120</v>
      </c>
      <c r="I67" s="19"/>
      <c r="J67" s="20">
        <f t="shared" si="2"/>
        <v>0</v>
      </c>
      <c r="K67" s="20">
        <f t="shared" si="3"/>
        <v>139294.41999999998</v>
      </c>
    </row>
    <row r="68" spans="2:11" ht="18.75" x14ac:dyDescent="0.3">
      <c r="B68" s="42">
        <v>44389</v>
      </c>
      <c r="C68" s="43" t="s">
        <v>81</v>
      </c>
      <c r="D68" s="23"/>
      <c r="E68" s="23"/>
      <c r="F68" s="23"/>
      <c r="G68" s="23"/>
      <c r="H68" s="23">
        <v>4000</v>
      </c>
      <c r="I68" s="19"/>
      <c r="J68" s="20">
        <f t="shared" si="2"/>
        <v>0</v>
      </c>
      <c r="K68" s="20">
        <f t="shared" si="3"/>
        <v>135294.41999999998</v>
      </c>
    </row>
    <row r="69" spans="2:11" ht="18.75" x14ac:dyDescent="0.3">
      <c r="B69" s="42">
        <v>44389</v>
      </c>
      <c r="C69" s="43" t="s">
        <v>542</v>
      </c>
      <c r="D69" s="18"/>
      <c r="E69" s="18"/>
      <c r="F69" s="18"/>
      <c r="G69" s="18"/>
      <c r="H69" s="18">
        <v>200.9</v>
      </c>
      <c r="I69" s="19"/>
      <c r="J69" s="20">
        <f t="shared" si="2"/>
        <v>0</v>
      </c>
      <c r="K69" s="20">
        <f t="shared" si="3"/>
        <v>135093.51999999999</v>
      </c>
    </row>
    <row r="70" spans="2:11" ht="18.75" x14ac:dyDescent="0.3">
      <c r="B70" s="42">
        <v>44389</v>
      </c>
      <c r="C70" s="21" t="s">
        <v>562</v>
      </c>
      <c r="D70" s="34"/>
      <c r="E70" s="18"/>
      <c r="F70" s="18"/>
      <c r="G70" s="18"/>
      <c r="H70" s="18">
        <v>15</v>
      </c>
      <c r="I70" s="19"/>
      <c r="J70" s="20">
        <f t="shared" si="2"/>
        <v>0</v>
      </c>
      <c r="K70" s="20">
        <f t="shared" si="3"/>
        <v>135078.51999999999</v>
      </c>
    </row>
    <row r="71" spans="2:11" ht="18.75" x14ac:dyDescent="0.3">
      <c r="B71" s="42">
        <v>44389</v>
      </c>
      <c r="C71" s="21" t="s">
        <v>563</v>
      </c>
      <c r="D71" s="34"/>
      <c r="E71" s="18"/>
      <c r="F71" s="18"/>
      <c r="G71" s="18"/>
      <c r="H71" s="18">
        <v>113.43</v>
      </c>
      <c r="I71" s="19"/>
      <c r="J71" s="20">
        <f t="shared" si="2"/>
        <v>0</v>
      </c>
      <c r="K71" s="20">
        <f t="shared" si="3"/>
        <v>134965.09</v>
      </c>
    </row>
    <row r="72" spans="2:11" ht="18.75" x14ac:dyDescent="0.3">
      <c r="B72" s="46">
        <v>44390</v>
      </c>
      <c r="C72" s="43" t="s">
        <v>561</v>
      </c>
      <c r="D72" s="18"/>
      <c r="E72" s="18"/>
      <c r="F72" s="18"/>
      <c r="G72" s="18"/>
      <c r="H72" s="18">
        <v>35</v>
      </c>
      <c r="I72" s="19"/>
      <c r="J72" s="20">
        <f t="shared" si="2"/>
        <v>0</v>
      </c>
      <c r="K72" s="20">
        <f t="shared" si="3"/>
        <v>134930.09</v>
      </c>
    </row>
    <row r="73" spans="2:11" ht="18.75" x14ac:dyDescent="0.3">
      <c r="B73" s="42">
        <v>44390</v>
      </c>
      <c r="C73" s="33" t="s">
        <v>561</v>
      </c>
      <c r="D73" s="34"/>
      <c r="E73" s="18"/>
      <c r="F73" s="18"/>
      <c r="G73" s="18"/>
      <c r="H73" s="18">
        <v>120</v>
      </c>
      <c r="I73" s="19"/>
      <c r="J73" s="20">
        <f t="shared" si="2"/>
        <v>0</v>
      </c>
      <c r="K73" s="20">
        <f t="shared" si="3"/>
        <v>134810.09</v>
      </c>
    </row>
    <row r="74" spans="2:11" ht="18.75" x14ac:dyDescent="0.3">
      <c r="B74" s="42">
        <v>44391</v>
      </c>
      <c r="C74" s="33" t="s">
        <v>564</v>
      </c>
      <c r="D74" s="34"/>
      <c r="E74" s="18"/>
      <c r="F74" s="18"/>
      <c r="G74" s="18"/>
      <c r="H74" s="18">
        <v>409.8</v>
      </c>
      <c r="I74" s="19"/>
      <c r="J74" s="20">
        <f t="shared" si="2"/>
        <v>0</v>
      </c>
      <c r="K74" s="20">
        <f t="shared" si="3"/>
        <v>134400.29</v>
      </c>
    </row>
    <row r="75" spans="2:11" ht="18.75" x14ac:dyDescent="0.3">
      <c r="B75" s="42">
        <v>44391</v>
      </c>
      <c r="C75" s="33" t="s">
        <v>380</v>
      </c>
      <c r="D75" s="34"/>
      <c r="E75" s="34"/>
      <c r="F75" s="34"/>
      <c r="G75" s="34"/>
      <c r="H75" s="18">
        <v>84</v>
      </c>
      <c r="I75" s="19"/>
      <c r="J75" s="20">
        <f t="shared" si="2"/>
        <v>0</v>
      </c>
      <c r="K75" s="20">
        <f t="shared" si="3"/>
        <v>134316.29</v>
      </c>
    </row>
    <row r="76" spans="2:11" ht="18.75" x14ac:dyDescent="0.3">
      <c r="B76" s="42">
        <v>44391</v>
      </c>
      <c r="C76" s="43" t="s">
        <v>552</v>
      </c>
      <c r="D76" s="18"/>
      <c r="E76" s="18"/>
      <c r="F76" s="18"/>
      <c r="G76" s="18"/>
      <c r="H76" s="18">
        <v>400</v>
      </c>
      <c r="I76" s="19"/>
      <c r="J76" s="20">
        <f t="shared" si="2"/>
        <v>0</v>
      </c>
      <c r="K76" s="20">
        <f t="shared" si="3"/>
        <v>133916.29</v>
      </c>
    </row>
    <row r="77" spans="2:11" ht="18.75" x14ac:dyDescent="0.3">
      <c r="B77" s="44">
        <v>44391</v>
      </c>
      <c r="C77" s="43" t="s">
        <v>529</v>
      </c>
      <c r="D77" s="34"/>
      <c r="E77" s="18"/>
      <c r="F77" s="18"/>
      <c r="G77" s="18"/>
      <c r="H77" s="18">
        <v>600</v>
      </c>
      <c r="I77" s="19"/>
      <c r="J77" s="20">
        <f t="shared" si="2"/>
        <v>0</v>
      </c>
      <c r="K77" s="20">
        <f t="shared" si="3"/>
        <v>133316.29</v>
      </c>
    </row>
    <row r="78" spans="2:11" ht="18.75" x14ac:dyDescent="0.3">
      <c r="B78" s="47">
        <v>44392</v>
      </c>
      <c r="C78" s="21" t="s">
        <v>529</v>
      </c>
      <c r="D78" s="34"/>
      <c r="E78" s="34"/>
      <c r="F78" s="34"/>
      <c r="G78" s="34"/>
      <c r="H78" s="18">
        <v>350</v>
      </c>
      <c r="I78" s="19"/>
      <c r="J78" s="20">
        <f t="shared" si="2"/>
        <v>0</v>
      </c>
      <c r="K78" s="20">
        <f t="shared" si="3"/>
        <v>132966.29</v>
      </c>
    </row>
    <row r="79" spans="2:11" ht="18.75" x14ac:dyDescent="0.3">
      <c r="B79" s="47">
        <v>44392</v>
      </c>
      <c r="C79" s="54" t="s">
        <v>530</v>
      </c>
      <c r="D79" s="34"/>
      <c r="E79" s="34"/>
      <c r="F79" s="34"/>
      <c r="G79" s="34"/>
      <c r="H79" s="18">
        <v>250</v>
      </c>
      <c r="I79" s="19"/>
      <c r="J79" s="20">
        <f t="shared" si="2"/>
        <v>0</v>
      </c>
      <c r="K79" s="20">
        <f t="shared" si="3"/>
        <v>132716.29</v>
      </c>
    </row>
    <row r="80" spans="2:11" ht="18.75" x14ac:dyDescent="0.3">
      <c r="B80" s="42">
        <v>44392</v>
      </c>
      <c r="C80" s="33" t="s">
        <v>170</v>
      </c>
      <c r="D80" s="34"/>
      <c r="E80" s="18"/>
      <c r="F80" s="18"/>
      <c r="G80" s="18"/>
      <c r="H80" s="18">
        <v>250</v>
      </c>
      <c r="I80" s="19"/>
      <c r="J80" s="20">
        <f t="shared" si="2"/>
        <v>0</v>
      </c>
      <c r="K80" s="20">
        <f t="shared" si="3"/>
        <v>132466.29</v>
      </c>
    </row>
    <row r="81" spans="2:11" ht="18.75" x14ac:dyDescent="0.3">
      <c r="B81" s="42">
        <v>44392</v>
      </c>
      <c r="C81" s="33" t="s">
        <v>171</v>
      </c>
      <c r="D81" s="34"/>
      <c r="E81" s="18"/>
      <c r="F81" s="18"/>
      <c r="G81" s="18"/>
      <c r="H81" s="18">
        <v>300</v>
      </c>
      <c r="I81" s="19"/>
      <c r="J81" s="20">
        <f t="shared" si="2"/>
        <v>0</v>
      </c>
      <c r="K81" s="20">
        <f t="shared" si="3"/>
        <v>132166.29</v>
      </c>
    </row>
    <row r="82" spans="2:11" ht="18.75" x14ac:dyDescent="0.3">
      <c r="B82" s="42">
        <v>44392</v>
      </c>
      <c r="C82" s="33" t="s">
        <v>172</v>
      </c>
      <c r="D82" s="34"/>
      <c r="E82" s="34"/>
      <c r="F82" s="34"/>
      <c r="G82" s="34"/>
      <c r="H82" s="18">
        <v>650</v>
      </c>
      <c r="I82" s="19"/>
      <c r="J82" s="20">
        <f t="shared" si="2"/>
        <v>0</v>
      </c>
      <c r="K82" s="20">
        <f t="shared" si="3"/>
        <v>131516.29</v>
      </c>
    </row>
    <row r="83" spans="2:11" ht="18.75" x14ac:dyDescent="0.3">
      <c r="B83" s="47">
        <v>44392</v>
      </c>
      <c r="C83" s="21" t="s">
        <v>231</v>
      </c>
      <c r="D83" s="34"/>
      <c r="E83" s="34"/>
      <c r="F83" s="34"/>
      <c r="G83" s="34"/>
      <c r="H83" s="18">
        <v>3400</v>
      </c>
      <c r="I83" s="19"/>
      <c r="J83" s="20">
        <f t="shared" si="2"/>
        <v>0</v>
      </c>
      <c r="K83" s="20">
        <f t="shared" si="3"/>
        <v>128116.29000000001</v>
      </c>
    </row>
    <row r="84" spans="2:11" ht="18.75" x14ac:dyDescent="0.3">
      <c r="B84" s="47">
        <v>44392</v>
      </c>
      <c r="C84" s="54" t="s">
        <v>81</v>
      </c>
      <c r="D84" s="34"/>
      <c r="E84" s="34"/>
      <c r="F84" s="34"/>
      <c r="G84" s="34"/>
      <c r="H84" s="18">
        <v>5000</v>
      </c>
      <c r="I84" s="19"/>
      <c r="J84" s="20">
        <f t="shared" si="2"/>
        <v>0</v>
      </c>
      <c r="K84" s="20">
        <f t="shared" si="3"/>
        <v>123116.29000000001</v>
      </c>
    </row>
    <row r="85" spans="2:11" ht="18.75" x14ac:dyDescent="0.3">
      <c r="B85" s="22">
        <v>44392</v>
      </c>
      <c r="C85" s="43" t="s">
        <v>448</v>
      </c>
      <c r="D85" s="18"/>
      <c r="E85" s="18"/>
      <c r="F85" s="18"/>
      <c r="G85" s="18"/>
      <c r="H85" s="18">
        <v>6000</v>
      </c>
      <c r="I85" s="19"/>
      <c r="J85" s="20">
        <f t="shared" si="2"/>
        <v>0</v>
      </c>
      <c r="K85" s="20">
        <f t="shared" si="3"/>
        <v>117116.29000000001</v>
      </c>
    </row>
    <row r="86" spans="2:11" ht="18.75" x14ac:dyDescent="0.3">
      <c r="B86" s="42">
        <v>44392</v>
      </c>
      <c r="C86" s="43" t="s">
        <v>83</v>
      </c>
      <c r="D86" s="18"/>
      <c r="E86" s="18"/>
      <c r="F86" s="18"/>
      <c r="G86" s="18"/>
      <c r="H86" s="18">
        <v>4550</v>
      </c>
      <c r="I86" s="19"/>
      <c r="J86" s="20">
        <f t="shared" si="2"/>
        <v>0</v>
      </c>
      <c r="K86" s="20">
        <f t="shared" si="3"/>
        <v>112566.29000000001</v>
      </c>
    </row>
    <row r="87" spans="2:11" ht="18.75" x14ac:dyDescent="0.3">
      <c r="B87" s="42">
        <v>44392</v>
      </c>
      <c r="C87" s="43" t="s">
        <v>83</v>
      </c>
      <c r="D87" s="18"/>
      <c r="E87" s="18"/>
      <c r="F87" s="18"/>
      <c r="G87" s="18"/>
      <c r="H87" s="18">
        <v>29250</v>
      </c>
      <c r="I87" s="19"/>
      <c r="J87" s="20">
        <f t="shared" si="2"/>
        <v>0</v>
      </c>
      <c r="K87" s="20">
        <f t="shared" si="3"/>
        <v>83316.290000000008</v>
      </c>
    </row>
    <row r="88" spans="2:11" ht="18.75" x14ac:dyDescent="0.3">
      <c r="B88" s="44">
        <v>44392</v>
      </c>
      <c r="C88" s="43" t="s">
        <v>84</v>
      </c>
      <c r="D88" s="34"/>
      <c r="E88" s="18"/>
      <c r="F88" s="18"/>
      <c r="G88" s="18"/>
      <c r="H88" s="18">
        <v>5300</v>
      </c>
      <c r="I88" s="19"/>
      <c r="J88" s="20">
        <f t="shared" si="2"/>
        <v>0</v>
      </c>
      <c r="K88" s="20">
        <f t="shared" si="3"/>
        <v>78016.290000000008</v>
      </c>
    </row>
    <row r="89" spans="2:11" ht="18.75" x14ac:dyDescent="0.3">
      <c r="B89" s="49">
        <v>44393</v>
      </c>
      <c r="C89" s="21" t="s">
        <v>529</v>
      </c>
      <c r="D89" s="34"/>
      <c r="E89" s="34"/>
      <c r="F89" s="34"/>
      <c r="G89" s="18"/>
      <c r="H89" s="18">
        <v>600</v>
      </c>
      <c r="I89" s="19"/>
      <c r="J89" s="20">
        <f t="shared" si="2"/>
        <v>0</v>
      </c>
      <c r="K89" s="20">
        <f t="shared" si="3"/>
        <v>77416.290000000008</v>
      </c>
    </row>
    <row r="90" spans="2:11" ht="18.75" x14ac:dyDescent="0.3">
      <c r="B90" s="49">
        <v>44393</v>
      </c>
      <c r="C90" s="21" t="s">
        <v>552</v>
      </c>
      <c r="D90" s="34"/>
      <c r="E90" s="34"/>
      <c r="F90" s="34"/>
      <c r="G90" s="18"/>
      <c r="H90" s="18">
        <v>350</v>
      </c>
      <c r="I90" s="19"/>
      <c r="J90" s="20">
        <f t="shared" si="2"/>
        <v>0</v>
      </c>
      <c r="K90" s="20">
        <f t="shared" si="3"/>
        <v>77066.290000000008</v>
      </c>
    </row>
    <row r="91" spans="2:11" ht="18.75" x14ac:dyDescent="0.3">
      <c r="B91" s="49">
        <v>44393</v>
      </c>
      <c r="C91" s="21" t="s">
        <v>565</v>
      </c>
      <c r="D91" s="34"/>
      <c r="E91" s="34"/>
      <c r="F91" s="34"/>
      <c r="G91" s="18"/>
      <c r="H91" s="18">
        <v>1500</v>
      </c>
      <c r="I91" s="19"/>
      <c r="J91" s="20">
        <f t="shared" si="2"/>
        <v>0</v>
      </c>
      <c r="K91" s="20">
        <f t="shared" si="3"/>
        <v>75566.290000000008</v>
      </c>
    </row>
    <row r="92" spans="2:11" ht="18.75" x14ac:dyDescent="0.3">
      <c r="B92" s="49">
        <v>44393</v>
      </c>
      <c r="C92" s="21" t="s">
        <v>563</v>
      </c>
      <c r="D92" s="34"/>
      <c r="E92" s="18"/>
      <c r="F92" s="18"/>
      <c r="G92" s="18"/>
      <c r="H92" s="18">
        <v>113.62</v>
      </c>
      <c r="I92" s="19"/>
      <c r="J92" s="20">
        <f t="shared" si="2"/>
        <v>0</v>
      </c>
      <c r="K92" s="20">
        <f t="shared" si="3"/>
        <v>75452.670000000013</v>
      </c>
    </row>
    <row r="93" spans="2:11" ht="19.5" thickBot="1" x14ac:dyDescent="0.35">
      <c r="B93" s="49">
        <v>44393</v>
      </c>
      <c r="C93" s="94" t="s">
        <v>300</v>
      </c>
      <c r="D93" s="34"/>
      <c r="E93" s="18"/>
      <c r="F93" s="34"/>
      <c r="G93" s="18"/>
      <c r="H93" s="18">
        <v>60.4</v>
      </c>
      <c r="I93" s="19"/>
      <c r="J93" s="20">
        <f t="shared" si="2"/>
        <v>0</v>
      </c>
      <c r="K93" s="20">
        <f t="shared" si="3"/>
        <v>75392.270000000019</v>
      </c>
    </row>
    <row r="94" spans="2:11" ht="19.5" thickBot="1" x14ac:dyDescent="0.35">
      <c r="B94" s="25"/>
      <c r="C94" s="26" t="s">
        <v>0</v>
      </c>
      <c r="D94" s="27">
        <f>SUM(D50:D93)</f>
        <v>104200</v>
      </c>
      <c r="E94" s="28">
        <f>SUM(E50:E93)</f>
        <v>0</v>
      </c>
      <c r="F94" s="29">
        <f>SUM(D94:E94)</f>
        <v>104200</v>
      </c>
      <c r="G94" s="30">
        <f>SUM(G50:G93)</f>
        <v>0</v>
      </c>
      <c r="H94" s="27">
        <f>SUM(H50:H93)</f>
        <v>85272.93</v>
      </c>
      <c r="I94" s="29">
        <f>SUM(G94:H94)</f>
        <v>85272.93</v>
      </c>
      <c r="J94" s="20"/>
      <c r="K94" s="20"/>
    </row>
    <row r="95" spans="2:11" ht="18.75" x14ac:dyDescent="0.3">
      <c r="B95" s="7" t="s">
        <v>1</v>
      </c>
      <c r="C95" s="7" t="s">
        <v>2</v>
      </c>
      <c r="D95" s="7" t="s">
        <v>3</v>
      </c>
      <c r="E95" s="7" t="s">
        <v>3</v>
      </c>
      <c r="F95" s="7" t="s">
        <v>8</v>
      </c>
      <c r="G95" s="7" t="s">
        <v>9</v>
      </c>
      <c r="H95" s="8" t="s">
        <v>9</v>
      </c>
      <c r="I95" s="8" t="s">
        <v>8</v>
      </c>
      <c r="J95" s="7" t="s">
        <v>7</v>
      </c>
      <c r="K95" s="8" t="s">
        <v>6</v>
      </c>
    </row>
    <row r="96" spans="2:11" ht="19.5" thickBot="1" x14ac:dyDescent="0.35">
      <c r="B96" s="9"/>
      <c r="C96" s="9"/>
      <c r="D96" s="9" t="s">
        <v>5</v>
      </c>
      <c r="E96" s="9" t="s">
        <v>7</v>
      </c>
      <c r="F96" s="9" t="s">
        <v>3</v>
      </c>
      <c r="G96" s="9" t="s">
        <v>7</v>
      </c>
      <c r="H96" s="10" t="s">
        <v>5</v>
      </c>
      <c r="I96" s="10" t="s">
        <v>4</v>
      </c>
      <c r="J96" s="9"/>
      <c r="K96" s="10"/>
    </row>
    <row r="97" spans="2:11" ht="19.5" thickBot="1" x14ac:dyDescent="0.35">
      <c r="B97" s="25"/>
      <c r="C97" s="26"/>
      <c r="D97" s="27">
        <v>104200</v>
      </c>
      <c r="E97" s="28">
        <v>0</v>
      </c>
      <c r="F97" s="29">
        <f>SUM(D97:E97)</f>
        <v>104200</v>
      </c>
      <c r="G97" s="30">
        <v>0</v>
      </c>
      <c r="H97" s="27">
        <v>85272.93</v>
      </c>
      <c r="I97" s="95">
        <f>SUM(G97:H97)</f>
        <v>85272.93</v>
      </c>
      <c r="J97" s="53">
        <v>0</v>
      </c>
      <c r="K97" s="53">
        <v>0</v>
      </c>
    </row>
    <row r="98" spans="2:11" ht="18.75" x14ac:dyDescent="0.3">
      <c r="B98" s="48">
        <v>44393</v>
      </c>
      <c r="C98" s="21" t="s">
        <v>542</v>
      </c>
      <c r="D98" s="34"/>
      <c r="E98" s="18"/>
      <c r="F98" s="34"/>
      <c r="G98" s="18"/>
      <c r="H98" s="18">
        <v>200.94</v>
      </c>
      <c r="I98" s="96"/>
      <c r="J98" s="20">
        <f t="shared" ref="J98" si="4">+J97+E98-G98</f>
        <v>0</v>
      </c>
      <c r="K98" s="20">
        <f>+K93+D98-H98</f>
        <v>75191.330000000016</v>
      </c>
    </row>
    <row r="99" spans="2:11" ht="18.75" x14ac:dyDescent="0.3">
      <c r="B99" s="48">
        <v>44393</v>
      </c>
      <c r="C99" s="21" t="s">
        <v>380</v>
      </c>
      <c r="D99" s="34"/>
      <c r="E99" s="18"/>
      <c r="F99" s="34"/>
      <c r="G99" s="18"/>
      <c r="H99" s="18">
        <v>84</v>
      </c>
      <c r="I99" s="81"/>
      <c r="J99" s="20">
        <f t="shared" ref="J99" si="5">+J98+E99-G99</f>
        <v>0</v>
      </c>
      <c r="K99" s="20">
        <f>+K98+D99-H99</f>
        <v>75107.330000000016</v>
      </c>
    </row>
    <row r="100" spans="2:11" ht="18.75" x14ac:dyDescent="0.3">
      <c r="B100" s="48">
        <v>44393</v>
      </c>
      <c r="C100" s="21" t="s">
        <v>566</v>
      </c>
      <c r="D100" s="34"/>
      <c r="E100" s="18"/>
      <c r="F100" s="34"/>
      <c r="G100" s="18"/>
      <c r="H100" s="18">
        <v>84.59</v>
      </c>
      <c r="I100" s="19"/>
      <c r="J100" s="20">
        <f>+J99+E100-G100</f>
        <v>0</v>
      </c>
      <c r="K100" s="20">
        <f>+K99+D100-H100</f>
        <v>75022.74000000002</v>
      </c>
    </row>
    <row r="101" spans="2:11" ht="18.75" x14ac:dyDescent="0.3">
      <c r="B101" s="48">
        <v>44393</v>
      </c>
      <c r="C101" s="21" t="s">
        <v>560</v>
      </c>
      <c r="D101" s="34"/>
      <c r="E101" s="18"/>
      <c r="F101" s="34"/>
      <c r="G101" s="18"/>
      <c r="H101" s="18">
        <v>1125</v>
      </c>
      <c r="I101" s="19"/>
      <c r="J101" s="20">
        <f t="shared" ref="J101:J140" si="6">+J100+E101-G101</f>
        <v>0</v>
      </c>
      <c r="K101" s="20">
        <f t="shared" ref="K101:K140" si="7">+K100+D101-H101</f>
        <v>73897.74000000002</v>
      </c>
    </row>
    <row r="102" spans="2:11" ht="18.75" x14ac:dyDescent="0.3">
      <c r="B102" s="48">
        <v>44393</v>
      </c>
      <c r="C102" s="21" t="s">
        <v>567</v>
      </c>
      <c r="D102" s="34"/>
      <c r="E102" s="18"/>
      <c r="F102" s="34"/>
      <c r="G102" s="18"/>
      <c r="H102" s="18">
        <v>300</v>
      </c>
      <c r="I102" s="19"/>
      <c r="J102" s="20">
        <f t="shared" si="6"/>
        <v>0</v>
      </c>
      <c r="K102" s="20">
        <f t="shared" si="7"/>
        <v>73597.74000000002</v>
      </c>
    </row>
    <row r="103" spans="2:11" ht="18.75" x14ac:dyDescent="0.3">
      <c r="B103" s="48">
        <v>44393</v>
      </c>
      <c r="C103" s="21" t="s">
        <v>568</v>
      </c>
      <c r="D103" s="34"/>
      <c r="E103" s="18"/>
      <c r="F103" s="34"/>
      <c r="G103" s="18"/>
      <c r="H103" s="18">
        <v>167</v>
      </c>
      <c r="I103" s="19"/>
      <c r="J103" s="20">
        <f t="shared" si="6"/>
        <v>0</v>
      </c>
      <c r="K103" s="20">
        <f t="shared" si="7"/>
        <v>73430.74000000002</v>
      </c>
    </row>
    <row r="104" spans="2:11" ht="18.75" x14ac:dyDescent="0.3">
      <c r="B104" s="42">
        <v>44394</v>
      </c>
      <c r="C104" s="33" t="s">
        <v>564</v>
      </c>
      <c r="D104" s="34"/>
      <c r="E104" s="18"/>
      <c r="F104" s="18"/>
      <c r="G104" s="18"/>
      <c r="H104" s="18">
        <v>300</v>
      </c>
      <c r="I104" s="19"/>
      <c r="J104" s="20">
        <f t="shared" si="6"/>
        <v>0</v>
      </c>
      <c r="K104" s="20">
        <f t="shared" si="7"/>
        <v>73130.74000000002</v>
      </c>
    </row>
    <row r="105" spans="2:11" ht="18.75" x14ac:dyDescent="0.3">
      <c r="B105" s="42">
        <v>44394</v>
      </c>
      <c r="C105" s="33" t="s">
        <v>529</v>
      </c>
      <c r="D105" s="34"/>
      <c r="E105" s="18"/>
      <c r="F105" s="18"/>
      <c r="G105" s="18"/>
      <c r="H105" s="18">
        <v>650</v>
      </c>
      <c r="I105" s="19"/>
      <c r="J105" s="20">
        <f t="shared" si="6"/>
        <v>0</v>
      </c>
      <c r="K105" s="20">
        <f t="shared" si="7"/>
        <v>72480.74000000002</v>
      </c>
    </row>
    <row r="106" spans="2:11" ht="18.75" x14ac:dyDescent="0.3">
      <c r="B106" s="42">
        <v>44395</v>
      </c>
      <c r="C106" s="33" t="s">
        <v>300</v>
      </c>
      <c r="D106" s="34"/>
      <c r="E106" s="34"/>
      <c r="F106" s="34"/>
      <c r="G106" s="34"/>
      <c r="H106" s="18">
        <v>88</v>
      </c>
      <c r="I106" s="19"/>
      <c r="J106" s="20">
        <f t="shared" si="6"/>
        <v>0</v>
      </c>
      <c r="K106" s="20">
        <f t="shared" si="7"/>
        <v>72392.74000000002</v>
      </c>
    </row>
    <row r="107" spans="2:11" ht="18.75" x14ac:dyDescent="0.3">
      <c r="B107" s="42">
        <v>44395</v>
      </c>
      <c r="C107" s="43" t="s">
        <v>108</v>
      </c>
      <c r="D107" s="18"/>
      <c r="E107" s="18"/>
      <c r="F107" s="18"/>
      <c r="G107" s="18"/>
      <c r="H107" s="18">
        <v>59.4</v>
      </c>
      <c r="I107" s="19"/>
      <c r="J107" s="20">
        <f t="shared" si="6"/>
        <v>0</v>
      </c>
      <c r="K107" s="20">
        <f t="shared" si="7"/>
        <v>72333.340000000026</v>
      </c>
    </row>
    <row r="108" spans="2:11" ht="18.75" x14ac:dyDescent="0.3">
      <c r="B108" s="44">
        <v>44395</v>
      </c>
      <c r="C108" s="43" t="s">
        <v>300</v>
      </c>
      <c r="D108" s="34"/>
      <c r="E108" s="18"/>
      <c r="F108" s="18"/>
      <c r="G108" s="18"/>
      <c r="H108" s="18">
        <v>45</v>
      </c>
      <c r="I108" s="19"/>
      <c r="J108" s="20">
        <f t="shared" si="6"/>
        <v>0</v>
      </c>
      <c r="K108" s="20">
        <f t="shared" si="7"/>
        <v>72288.340000000026</v>
      </c>
    </row>
    <row r="109" spans="2:11" ht="18.75" x14ac:dyDescent="0.3">
      <c r="B109" s="47">
        <v>44395</v>
      </c>
      <c r="C109" s="21" t="s">
        <v>497</v>
      </c>
      <c r="D109" s="34"/>
      <c r="E109" s="34"/>
      <c r="F109" s="34"/>
      <c r="G109" s="34"/>
      <c r="H109" s="18">
        <v>100</v>
      </c>
      <c r="I109" s="19"/>
      <c r="J109" s="20">
        <f t="shared" si="6"/>
        <v>0</v>
      </c>
      <c r="K109" s="20">
        <f t="shared" si="7"/>
        <v>72188.340000000026</v>
      </c>
    </row>
    <row r="110" spans="2:11" ht="18.75" x14ac:dyDescent="0.3">
      <c r="B110" s="47">
        <v>44395</v>
      </c>
      <c r="C110" s="54" t="s">
        <v>498</v>
      </c>
      <c r="D110" s="34"/>
      <c r="E110" s="34"/>
      <c r="F110" s="34"/>
      <c r="G110" s="34"/>
      <c r="H110" s="18">
        <v>200</v>
      </c>
      <c r="I110" s="19"/>
      <c r="J110" s="20">
        <f t="shared" si="6"/>
        <v>0</v>
      </c>
      <c r="K110" s="20">
        <f t="shared" si="7"/>
        <v>71988.340000000026</v>
      </c>
    </row>
    <row r="111" spans="2:11" ht="18.75" x14ac:dyDescent="0.3">
      <c r="B111" s="22">
        <v>44395</v>
      </c>
      <c r="C111" s="43" t="s">
        <v>487</v>
      </c>
      <c r="D111" s="18"/>
      <c r="E111" s="18"/>
      <c r="F111" s="18"/>
      <c r="G111" s="18"/>
      <c r="H111" s="18">
        <v>300</v>
      </c>
      <c r="I111" s="19"/>
      <c r="J111" s="20">
        <f t="shared" si="6"/>
        <v>0</v>
      </c>
      <c r="K111" s="20">
        <f t="shared" si="7"/>
        <v>71688.340000000026</v>
      </c>
    </row>
    <row r="112" spans="2:11" ht="18.75" x14ac:dyDescent="0.3">
      <c r="B112" s="42">
        <v>44395</v>
      </c>
      <c r="C112" s="43" t="s">
        <v>569</v>
      </c>
      <c r="D112" s="18"/>
      <c r="E112" s="18"/>
      <c r="F112" s="18"/>
      <c r="G112" s="18"/>
      <c r="H112" s="18">
        <v>150</v>
      </c>
      <c r="I112" s="19"/>
      <c r="J112" s="20">
        <f t="shared" si="6"/>
        <v>0</v>
      </c>
      <c r="K112" s="20">
        <f t="shared" si="7"/>
        <v>71538.340000000026</v>
      </c>
    </row>
    <row r="113" spans="2:13" ht="18.75" x14ac:dyDescent="0.3">
      <c r="B113" s="44">
        <v>44395</v>
      </c>
      <c r="C113" s="43" t="s">
        <v>570</v>
      </c>
      <c r="D113" s="34"/>
      <c r="E113" s="18"/>
      <c r="F113" s="18"/>
      <c r="G113" s="18"/>
      <c r="H113" s="18">
        <v>300</v>
      </c>
      <c r="I113" s="19"/>
      <c r="J113" s="20">
        <f t="shared" si="6"/>
        <v>0</v>
      </c>
      <c r="K113" s="20">
        <f t="shared" si="7"/>
        <v>71238.340000000026</v>
      </c>
    </row>
    <row r="114" spans="2:13" ht="18.75" x14ac:dyDescent="0.3">
      <c r="B114" s="49">
        <v>44395</v>
      </c>
      <c r="C114" s="21" t="s">
        <v>571</v>
      </c>
      <c r="D114" s="34"/>
      <c r="E114" s="34"/>
      <c r="F114" s="34"/>
      <c r="G114" s="18"/>
      <c r="H114" s="23">
        <v>3000</v>
      </c>
      <c r="I114" s="19"/>
      <c r="J114" s="20">
        <f t="shared" si="6"/>
        <v>0</v>
      </c>
      <c r="K114" s="20">
        <f t="shared" si="7"/>
        <v>68238.340000000026</v>
      </c>
    </row>
    <row r="115" spans="2:13" ht="18.75" x14ac:dyDescent="0.3">
      <c r="B115" s="49">
        <v>44395</v>
      </c>
      <c r="C115" s="24" t="s">
        <v>547</v>
      </c>
      <c r="D115" s="34"/>
      <c r="E115" s="34"/>
      <c r="F115" s="34"/>
      <c r="G115" s="18"/>
      <c r="H115" s="18">
        <v>450</v>
      </c>
      <c r="I115" s="19"/>
      <c r="J115" s="20">
        <f t="shared" si="6"/>
        <v>0</v>
      </c>
      <c r="K115" s="20">
        <f t="shared" si="7"/>
        <v>67788.340000000026</v>
      </c>
      <c r="M115">
        <v>3650</v>
      </c>
    </row>
    <row r="116" spans="2:13" ht="18.75" x14ac:dyDescent="0.3">
      <c r="B116" s="49">
        <v>44395</v>
      </c>
      <c r="C116" s="24" t="s">
        <v>529</v>
      </c>
      <c r="D116" s="34"/>
      <c r="E116" s="18"/>
      <c r="F116" s="18"/>
      <c r="G116" s="18"/>
      <c r="H116" s="18">
        <v>700</v>
      </c>
      <c r="I116" s="19"/>
      <c r="J116" s="20">
        <f t="shared" si="6"/>
        <v>0</v>
      </c>
      <c r="K116" s="20">
        <f t="shared" si="7"/>
        <v>67088.340000000026</v>
      </c>
    </row>
    <row r="117" spans="2:13" ht="18.75" x14ac:dyDescent="0.3">
      <c r="B117" s="49">
        <v>44395</v>
      </c>
      <c r="C117" s="24" t="s">
        <v>572</v>
      </c>
      <c r="D117" s="34"/>
      <c r="E117" s="18"/>
      <c r="F117" s="18"/>
      <c r="G117" s="18"/>
      <c r="H117" s="18">
        <v>501.9</v>
      </c>
      <c r="I117" s="19"/>
      <c r="J117" s="20">
        <f t="shared" si="6"/>
        <v>0</v>
      </c>
      <c r="K117" s="20">
        <f t="shared" si="7"/>
        <v>66586.440000000031</v>
      </c>
      <c r="L117">
        <v>9000</v>
      </c>
    </row>
    <row r="118" spans="2:13" ht="18.75" x14ac:dyDescent="0.3">
      <c r="B118" s="49">
        <v>44395</v>
      </c>
      <c r="C118" s="43" t="s">
        <v>90</v>
      </c>
      <c r="D118" s="34">
        <v>44650</v>
      </c>
      <c r="E118" s="18"/>
      <c r="F118" s="18"/>
      <c r="G118" s="18"/>
      <c r="H118" s="18"/>
      <c r="I118" s="19"/>
      <c r="J118" s="20">
        <f t="shared" si="6"/>
        <v>0</v>
      </c>
      <c r="K118" s="20">
        <f t="shared" si="7"/>
        <v>111236.44000000003</v>
      </c>
      <c r="M118">
        <v>9000</v>
      </c>
    </row>
    <row r="119" spans="2:13" ht="18.75" x14ac:dyDescent="0.3">
      <c r="B119" s="49">
        <v>44396</v>
      </c>
      <c r="C119" s="21" t="s">
        <v>549</v>
      </c>
      <c r="D119" s="34"/>
      <c r="E119" s="18"/>
      <c r="F119" s="18"/>
      <c r="G119" s="18"/>
      <c r="H119" s="18">
        <v>200</v>
      </c>
      <c r="I119" s="19"/>
      <c r="J119" s="20">
        <f t="shared" si="6"/>
        <v>0</v>
      </c>
      <c r="K119" s="20">
        <f t="shared" si="7"/>
        <v>111036.44000000003</v>
      </c>
      <c r="M119">
        <v>29250</v>
      </c>
    </row>
    <row r="120" spans="2:13" ht="18.75" x14ac:dyDescent="0.3">
      <c r="B120" s="49">
        <v>44396</v>
      </c>
      <c r="C120" s="21" t="s">
        <v>108</v>
      </c>
      <c r="D120" s="34"/>
      <c r="E120" s="18"/>
      <c r="F120" s="18"/>
      <c r="G120" s="18"/>
      <c r="H120" s="18">
        <v>95.4</v>
      </c>
      <c r="I120" s="19"/>
      <c r="J120" s="20">
        <f t="shared" si="6"/>
        <v>0</v>
      </c>
      <c r="K120" s="20">
        <f t="shared" si="7"/>
        <v>110941.04000000004</v>
      </c>
      <c r="M120">
        <v>4500</v>
      </c>
    </row>
    <row r="121" spans="2:13" ht="18.75" x14ac:dyDescent="0.3">
      <c r="B121" s="49">
        <v>44397</v>
      </c>
      <c r="C121" s="21" t="s">
        <v>573</v>
      </c>
      <c r="D121" s="34"/>
      <c r="E121" s="18"/>
      <c r="F121" s="18"/>
      <c r="G121" s="18"/>
      <c r="H121" s="18">
        <v>56</v>
      </c>
      <c r="I121" s="19"/>
      <c r="J121" s="20">
        <f t="shared" si="6"/>
        <v>0</v>
      </c>
      <c r="K121" s="20">
        <f t="shared" si="7"/>
        <v>110885.04000000004</v>
      </c>
    </row>
    <row r="122" spans="2:13" ht="18.75" x14ac:dyDescent="0.3">
      <c r="B122" s="49">
        <v>44397</v>
      </c>
      <c r="C122" s="94" t="s">
        <v>524</v>
      </c>
      <c r="D122" s="34"/>
      <c r="E122" s="18"/>
      <c r="F122" s="18"/>
      <c r="G122" s="18"/>
      <c r="H122" s="18">
        <v>360</v>
      </c>
      <c r="I122" s="19"/>
      <c r="J122" s="20">
        <f t="shared" si="6"/>
        <v>0</v>
      </c>
      <c r="K122" s="20">
        <f t="shared" si="7"/>
        <v>110525.04000000004</v>
      </c>
    </row>
    <row r="123" spans="2:13" ht="18.75" x14ac:dyDescent="0.3">
      <c r="B123" s="48">
        <v>44397</v>
      </c>
      <c r="C123" s="21" t="s">
        <v>574</v>
      </c>
      <c r="D123" s="34"/>
      <c r="E123" s="18"/>
      <c r="F123" s="34"/>
      <c r="G123" s="18"/>
      <c r="H123" s="18">
        <v>400</v>
      </c>
      <c r="I123" s="19"/>
      <c r="J123" s="20">
        <f t="shared" si="6"/>
        <v>0</v>
      </c>
      <c r="K123" s="20">
        <f t="shared" si="7"/>
        <v>110125.04000000004</v>
      </c>
    </row>
    <row r="124" spans="2:13" ht="18.75" x14ac:dyDescent="0.3">
      <c r="B124" s="48">
        <v>44397</v>
      </c>
      <c r="C124" s="21" t="s">
        <v>162</v>
      </c>
      <c r="D124" s="34"/>
      <c r="E124" s="18"/>
      <c r="F124" s="34"/>
      <c r="G124" s="18"/>
      <c r="H124" s="18">
        <v>65</v>
      </c>
      <c r="I124" s="19"/>
      <c r="J124" s="20">
        <f t="shared" si="6"/>
        <v>0</v>
      </c>
      <c r="K124" s="20">
        <f t="shared" si="7"/>
        <v>110060.04000000004</v>
      </c>
    </row>
    <row r="125" spans="2:13" ht="18.75" x14ac:dyDescent="0.3">
      <c r="B125" s="48">
        <v>44397</v>
      </c>
      <c r="C125" s="21" t="s">
        <v>575</v>
      </c>
      <c r="D125" s="34"/>
      <c r="E125" s="18"/>
      <c r="F125" s="34"/>
      <c r="G125" s="18"/>
      <c r="H125" s="18">
        <v>34</v>
      </c>
      <c r="I125" s="19"/>
      <c r="J125" s="20">
        <f t="shared" si="6"/>
        <v>0</v>
      </c>
      <c r="K125" s="20">
        <f t="shared" si="7"/>
        <v>110026.04000000004</v>
      </c>
    </row>
    <row r="126" spans="2:13" ht="18.75" x14ac:dyDescent="0.3">
      <c r="B126" s="48">
        <v>44397</v>
      </c>
      <c r="C126" s="21" t="s">
        <v>529</v>
      </c>
      <c r="D126" s="34"/>
      <c r="E126" s="18"/>
      <c r="F126" s="34"/>
      <c r="G126" s="18"/>
      <c r="H126" s="18">
        <v>600</v>
      </c>
      <c r="I126" s="19"/>
      <c r="J126" s="20">
        <f t="shared" si="6"/>
        <v>0</v>
      </c>
      <c r="K126" s="20">
        <f t="shared" si="7"/>
        <v>109426.04000000004</v>
      </c>
    </row>
    <row r="127" spans="2:13" ht="18.75" x14ac:dyDescent="0.3">
      <c r="B127" s="48">
        <v>44397</v>
      </c>
      <c r="C127" s="21" t="s">
        <v>547</v>
      </c>
      <c r="D127" s="34"/>
      <c r="E127" s="18"/>
      <c r="F127" s="34"/>
      <c r="G127" s="18"/>
      <c r="H127" s="18">
        <v>350</v>
      </c>
      <c r="I127" s="19"/>
      <c r="J127" s="20">
        <f t="shared" si="6"/>
        <v>0</v>
      </c>
      <c r="K127" s="20">
        <f t="shared" si="7"/>
        <v>109076.04000000004</v>
      </c>
    </row>
    <row r="128" spans="2:13" ht="18.75" x14ac:dyDescent="0.3">
      <c r="B128" s="48">
        <v>44399</v>
      </c>
      <c r="C128" s="94" t="s">
        <v>576</v>
      </c>
      <c r="D128" s="34"/>
      <c r="E128" s="18"/>
      <c r="F128" s="18"/>
      <c r="G128" s="18"/>
      <c r="H128" s="18">
        <v>1400</v>
      </c>
      <c r="I128" s="19"/>
      <c r="J128" s="20">
        <f t="shared" si="6"/>
        <v>0</v>
      </c>
      <c r="K128" s="20">
        <f t="shared" si="7"/>
        <v>107676.04000000004</v>
      </c>
    </row>
    <row r="129" spans="2:11" ht="18.75" x14ac:dyDescent="0.3">
      <c r="B129" s="48">
        <v>44399</v>
      </c>
      <c r="C129" s="94" t="s">
        <v>577</v>
      </c>
      <c r="D129" s="34"/>
      <c r="E129" s="18"/>
      <c r="F129" s="18"/>
      <c r="G129" s="18"/>
      <c r="H129" s="18">
        <v>300</v>
      </c>
      <c r="I129" s="19"/>
      <c r="J129" s="20">
        <f t="shared" si="6"/>
        <v>0</v>
      </c>
      <c r="K129" s="20">
        <f t="shared" si="7"/>
        <v>107376.04000000004</v>
      </c>
    </row>
    <row r="130" spans="2:11" ht="18.75" x14ac:dyDescent="0.3">
      <c r="B130" s="48">
        <v>44399</v>
      </c>
      <c r="C130" s="94" t="s">
        <v>530</v>
      </c>
      <c r="D130" s="34"/>
      <c r="E130" s="18"/>
      <c r="F130" s="18"/>
      <c r="G130" s="18"/>
      <c r="H130" s="18">
        <v>250</v>
      </c>
      <c r="I130" s="19"/>
      <c r="J130" s="20">
        <f t="shared" si="6"/>
        <v>0</v>
      </c>
      <c r="K130" s="20">
        <f t="shared" si="7"/>
        <v>107126.04000000004</v>
      </c>
    </row>
    <row r="131" spans="2:11" ht="18.75" x14ac:dyDescent="0.3">
      <c r="B131" s="48">
        <v>44399</v>
      </c>
      <c r="C131" s="94" t="s">
        <v>578</v>
      </c>
      <c r="D131" s="34"/>
      <c r="E131" s="18"/>
      <c r="F131" s="18"/>
      <c r="G131" s="18"/>
      <c r="H131" s="18">
        <v>350</v>
      </c>
      <c r="I131" s="19"/>
      <c r="J131" s="20">
        <f t="shared" si="6"/>
        <v>0</v>
      </c>
      <c r="K131" s="20">
        <f t="shared" si="7"/>
        <v>106776.04000000004</v>
      </c>
    </row>
    <row r="132" spans="2:11" ht="18.75" x14ac:dyDescent="0.3">
      <c r="B132" s="48">
        <v>44399</v>
      </c>
      <c r="C132" s="94" t="s">
        <v>579</v>
      </c>
      <c r="D132" s="34"/>
      <c r="E132" s="18"/>
      <c r="F132" s="18"/>
      <c r="G132" s="18"/>
      <c r="H132" s="18">
        <v>142</v>
      </c>
      <c r="I132" s="19"/>
      <c r="J132" s="20">
        <f t="shared" si="6"/>
        <v>0</v>
      </c>
      <c r="K132" s="20">
        <f t="shared" si="7"/>
        <v>106634.04000000004</v>
      </c>
    </row>
    <row r="133" spans="2:11" ht="18.75" x14ac:dyDescent="0.3">
      <c r="B133" s="48">
        <v>44400</v>
      </c>
      <c r="C133" s="94" t="s">
        <v>580</v>
      </c>
      <c r="D133" s="34"/>
      <c r="E133" s="18"/>
      <c r="F133" s="18"/>
      <c r="G133" s="18"/>
      <c r="H133" s="18">
        <v>5600</v>
      </c>
      <c r="I133" s="19"/>
      <c r="J133" s="20">
        <f t="shared" si="6"/>
        <v>0</v>
      </c>
      <c r="K133" s="20">
        <f t="shared" si="7"/>
        <v>101034.04000000004</v>
      </c>
    </row>
    <row r="134" spans="2:11" ht="18.75" x14ac:dyDescent="0.3">
      <c r="B134" s="48">
        <v>44400</v>
      </c>
      <c r="C134" s="94" t="s">
        <v>581</v>
      </c>
      <c r="D134" s="34"/>
      <c r="E134" s="18"/>
      <c r="F134" s="18"/>
      <c r="G134" s="18"/>
      <c r="H134" s="18">
        <v>300</v>
      </c>
      <c r="I134" s="19"/>
      <c r="J134" s="20">
        <f t="shared" si="6"/>
        <v>0</v>
      </c>
      <c r="K134" s="20">
        <f t="shared" si="7"/>
        <v>100734.04000000004</v>
      </c>
    </row>
    <row r="135" spans="2:11" ht="18.75" x14ac:dyDescent="0.3">
      <c r="B135" s="48">
        <v>44400</v>
      </c>
      <c r="C135" s="94" t="s">
        <v>563</v>
      </c>
      <c r="D135" s="34"/>
      <c r="E135" s="18"/>
      <c r="F135" s="18"/>
      <c r="G135" s="18"/>
      <c r="H135" s="18">
        <v>76</v>
      </c>
      <c r="I135" s="19"/>
      <c r="J135" s="20">
        <f t="shared" si="6"/>
        <v>0</v>
      </c>
      <c r="K135" s="20">
        <f t="shared" si="7"/>
        <v>100658.04000000004</v>
      </c>
    </row>
    <row r="136" spans="2:11" ht="18.75" x14ac:dyDescent="0.3">
      <c r="B136" s="48">
        <v>44400</v>
      </c>
      <c r="C136" s="94" t="s">
        <v>542</v>
      </c>
      <c r="D136" s="34"/>
      <c r="E136" s="18"/>
      <c r="F136" s="18"/>
      <c r="G136" s="18"/>
      <c r="H136" s="18">
        <v>199.9</v>
      </c>
      <c r="I136" s="19"/>
      <c r="J136" s="20">
        <f t="shared" si="6"/>
        <v>0</v>
      </c>
      <c r="K136" s="20">
        <f t="shared" si="7"/>
        <v>100458.14000000004</v>
      </c>
    </row>
    <row r="137" spans="2:11" ht="18.75" x14ac:dyDescent="0.3">
      <c r="B137" s="48">
        <v>44400</v>
      </c>
      <c r="C137" s="94" t="s">
        <v>582</v>
      </c>
      <c r="D137" s="34"/>
      <c r="E137" s="18"/>
      <c r="F137" s="18"/>
      <c r="G137" s="18"/>
      <c r="H137" s="18">
        <v>84</v>
      </c>
      <c r="I137" s="19"/>
      <c r="J137" s="20">
        <f t="shared" si="6"/>
        <v>0</v>
      </c>
      <c r="K137" s="20">
        <f t="shared" si="7"/>
        <v>100374.14000000004</v>
      </c>
    </row>
    <row r="138" spans="2:11" ht="18.75" x14ac:dyDescent="0.3">
      <c r="B138" s="48">
        <v>44400</v>
      </c>
      <c r="C138" s="94" t="s">
        <v>275</v>
      </c>
      <c r="D138" s="34"/>
      <c r="E138" s="18"/>
      <c r="F138" s="18"/>
      <c r="G138" s="18"/>
      <c r="H138" s="18">
        <v>15</v>
      </c>
      <c r="I138" s="19"/>
      <c r="J138" s="20">
        <f t="shared" si="6"/>
        <v>0</v>
      </c>
      <c r="K138" s="20">
        <f t="shared" si="7"/>
        <v>100359.14000000004</v>
      </c>
    </row>
    <row r="139" spans="2:11" ht="18.75" x14ac:dyDescent="0.3">
      <c r="B139" s="48">
        <v>44400</v>
      </c>
      <c r="C139" s="94" t="s">
        <v>583</v>
      </c>
      <c r="D139" s="34"/>
      <c r="E139" s="18"/>
      <c r="F139" s="18"/>
      <c r="G139" s="18"/>
      <c r="H139" s="18">
        <v>200</v>
      </c>
      <c r="I139" s="19"/>
      <c r="J139" s="20">
        <f t="shared" si="6"/>
        <v>0</v>
      </c>
      <c r="K139" s="20">
        <f t="shared" si="7"/>
        <v>100159.14000000004</v>
      </c>
    </row>
    <row r="140" spans="2:11" ht="19.5" thickBot="1" x14ac:dyDescent="0.35">
      <c r="B140" s="48">
        <v>44401</v>
      </c>
      <c r="C140" s="94" t="s">
        <v>300</v>
      </c>
      <c r="D140" s="34"/>
      <c r="E140" s="18"/>
      <c r="F140" s="18"/>
      <c r="G140" s="18"/>
      <c r="H140" s="18">
        <v>85</v>
      </c>
      <c r="I140" s="19"/>
      <c r="J140" s="20">
        <f t="shared" si="6"/>
        <v>0</v>
      </c>
      <c r="K140" s="20">
        <f t="shared" si="7"/>
        <v>100074.14000000004</v>
      </c>
    </row>
    <row r="141" spans="2:11" ht="19.5" thickBot="1" x14ac:dyDescent="0.35">
      <c r="B141" s="25"/>
      <c r="C141" s="26" t="s">
        <v>0</v>
      </c>
      <c r="D141" s="27">
        <f>SUM(D97:D124)</f>
        <v>148850</v>
      </c>
      <c r="E141" s="28">
        <f>SUM(E102:E124)</f>
        <v>0</v>
      </c>
      <c r="F141" s="29">
        <f>SUM(D141:E141)</f>
        <v>148850</v>
      </c>
      <c r="G141" s="30">
        <f>SUM(G62:G121)</f>
        <v>0</v>
      </c>
      <c r="H141" s="27">
        <f>SUM(H97:H140)</f>
        <v>105241.05999999997</v>
      </c>
      <c r="I141" s="29">
        <f>SUM(G141:H141)</f>
        <v>105241.05999999997</v>
      </c>
      <c r="J141" s="31"/>
      <c r="K141" s="31"/>
    </row>
    <row r="142" spans="2:11" ht="18.75" x14ac:dyDescent="0.3">
      <c r="B142" s="7" t="s">
        <v>1</v>
      </c>
      <c r="C142" s="7" t="s">
        <v>2</v>
      </c>
      <c r="D142" s="7" t="s">
        <v>3</v>
      </c>
      <c r="E142" s="7" t="s">
        <v>3</v>
      </c>
      <c r="F142" s="7" t="s">
        <v>8</v>
      </c>
      <c r="G142" s="7" t="s">
        <v>9</v>
      </c>
      <c r="H142" s="8" t="s">
        <v>9</v>
      </c>
      <c r="I142" s="8" t="s">
        <v>8</v>
      </c>
      <c r="J142" s="7" t="s">
        <v>7</v>
      </c>
      <c r="K142" s="8" t="s">
        <v>6</v>
      </c>
    </row>
    <row r="143" spans="2:11" ht="19.5" thickBot="1" x14ac:dyDescent="0.35">
      <c r="B143" s="9"/>
      <c r="C143" s="9"/>
      <c r="D143" s="9" t="s">
        <v>5</v>
      </c>
      <c r="E143" s="9" t="s">
        <v>7</v>
      </c>
      <c r="F143" s="9" t="s">
        <v>3</v>
      </c>
      <c r="G143" s="9" t="s">
        <v>7</v>
      </c>
      <c r="H143" s="10" t="s">
        <v>5</v>
      </c>
      <c r="I143" s="10" t="s">
        <v>4</v>
      </c>
      <c r="J143" s="9"/>
      <c r="K143" s="10"/>
    </row>
    <row r="144" spans="2:11" ht="19.5" thickBot="1" x14ac:dyDescent="0.35">
      <c r="B144" s="25"/>
      <c r="C144" s="26"/>
      <c r="D144" s="27">
        <v>148850</v>
      </c>
      <c r="E144" s="28">
        <v>0</v>
      </c>
      <c r="F144" s="29">
        <f>SUM(D144:E144)</f>
        <v>148850</v>
      </c>
      <c r="G144" s="30">
        <v>0</v>
      </c>
      <c r="H144" s="27">
        <v>105241.06</v>
      </c>
      <c r="I144" s="29">
        <f>SUM(G144:H144)</f>
        <v>105241.06</v>
      </c>
      <c r="J144" s="53">
        <v>0</v>
      </c>
      <c r="K144" s="53">
        <v>0</v>
      </c>
    </row>
    <row r="145" spans="2:11" ht="18.75" x14ac:dyDescent="0.3">
      <c r="B145" s="48">
        <v>44401</v>
      </c>
      <c r="C145" s="94" t="s">
        <v>108</v>
      </c>
      <c r="D145" s="34"/>
      <c r="E145" s="18"/>
      <c r="F145" s="18"/>
      <c r="G145" s="18"/>
      <c r="H145" s="18">
        <v>186</v>
      </c>
      <c r="I145" s="81"/>
      <c r="J145" s="20">
        <f>+J144+E145-G145</f>
        <v>0</v>
      </c>
      <c r="K145" s="20">
        <f>+K140+D145-H145</f>
        <v>99888.140000000043</v>
      </c>
    </row>
    <row r="146" spans="2:11" ht="18.75" x14ac:dyDescent="0.3">
      <c r="B146" s="48">
        <v>44401</v>
      </c>
      <c r="C146" s="94" t="s">
        <v>584</v>
      </c>
      <c r="D146" s="34"/>
      <c r="E146" s="18"/>
      <c r="F146" s="18"/>
      <c r="G146" s="18"/>
      <c r="H146" s="18">
        <v>2700</v>
      </c>
      <c r="I146" s="19"/>
      <c r="J146" s="20">
        <f t="shared" ref="J146" si="8">+J145+E146-G146</f>
        <v>0</v>
      </c>
      <c r="K146" s="20">
        <f>+K145+D146-H146</f>
        <v>97188.140000000043</v>
      </c>
    </row>
    <row r="147" spans="2:11" ht="18.75" x14ac:dyDescent="0.3">
      <c r="B147" s="48">
        <v>44401</v>
      </c>
      <c r="C147" s="94" t="s">
        <v>585</v>
      </c>
      <c r="D147" s="34"/>
      <c r="E147" s="18"/>
      <c r="F147" s="18"/>
      <c r="G147" s="18"/>
      <c r="H147" s="18">
        <v>950</v>
      </c>
      <c r="I147" s="19"/>
      <c r="J147" s="20">
        <f t="shared" ref="J147:J168" si="9">+J146+E147-G147</f>
        <v>0</v>
      </c>
      <c r="K147" s="20">
        <f t="shared" ref="K147:K168" si="10">+K146+D147-H147</f>
        <v>96238.140000000043</v>
      </c>
    </row>
    <row r="148" spans="2:11" ht="18.75" x14ac:dyDescent="0.3">
      <c r="B148" s="48">
        <v>44401</v>
      </c>
      <c r="C148" s="94" t="s">
        <v>542</v>
      </c>
      <c r="D148" s="34"/>
      <c r="E148" s="18"/>
      <c r="F148" s="18"/>
      <c r="G148" s="18"/>
      <c r="H148" s="18">
        <v>300</v>
      </c>
      <c r="I148" s="19"/>
      <c r="J148" s="20">
        <f t="shared" si="9"/>
        <v>0</v>
      </c>
      <c r="K148" s="20">
        <f t="shared" si="10"/>
        <v>95938.140000000043</v>
      </c>
    </row>
    <row r="149" spans="2:11" ht="18.75" x14ac:dyDescent="0.3">
      <c r="B149" s="48">
        <v>44402</v>
      </c>
      <c r="C149" s="94" t="s">
        <v>303</v>
      </c>
      <c r="D149" s="34"/>
      <c r="E149" s="18"/>
      <c r="F149" s="18"/>
      <c r="G149" s="18"/>
      <c r="H149" s="18">
        <v>100</v>
      </c>
      <c r="I149" s="19"/>
      <c r="J149" s="20">
        <f t="shared" si="9"/>
        <v>0</v>
      </c>
      <c r="K149" s="20">
        <f t="shared" si="10"/>
        <v>95838.140000000043</v>
      </c>
    </row>
    <row r="150" spans="2:11" ht="18.75" x14ac:dyDescent="0.3">
      <c r="B150" s="48">
        <v>44402</v>
      </c>
      <c r="C150" s="94" t="s">
        <v>586</v>
      </c>
      <c r="D150" s="34"/>
      <c r="E150" s="18"/>
      <c r="F150" s="18"/>
      <c r="G150" s="18"/>
      <c r="H150" s="18">
        <v>200</v>
      </c>
      <c r="I150" s="19"/>
      <c r="J150" s="20">
        <f t="shared" si="9"/>
        <v>0</v>
      </c>
      <c r="K150" s="20">
        <f t="shared" si="10"/>
        <v>95638.140000000043</v>
      </c>
    </row>
    <row r="151" spans="2:11" ht="18.75" x14ac:dyDescent="0.3">
      <c r="B151" s="48">
        <v>44402</v>
      </c>
      <c r="C151" s="21" t="s">
        <v>484</v>
      </c>
      <c r="D151" s="34"/>
      <c r="E151" s="18"/>
      <c r="F151" s="34"/>
      <c r="G151" s="18"/>
      <c r="H151" s="18">
        <v>150</v>
      </c>
      <c r="I151" s="19"/>
      <c r="J151" s="20">
        <f t="shared" si="9"/>
        <v>0</v>
      </c>
      <c r="K151" s="20">
        <f t="shared" si="10"/>
        <v>95488.140000000043</v>
      </c>
    </row>
    <row r="152" spans="2:11" ht="18.75" x14ac:dyDescent="0.3">
      <c r="B152" s="48">
        <v>44402</v>
      </c>
      <c r="C152" s="21" t="s">
        <v>587</v>
      </c>
      <c r="D152" s="34"/>
      <c r="E152" s="18"/>
      <c r="F152" s="34"/>
      <c r="G152" s="18"/>
      <c r="H152" s="18">
        <v>300</v>
      </c>
      <c r="I152" s="19"/>
      <c r="J152" s="20">
        <f t="shared" si="9"/>
        <v>0</v>
      </c>
      <c r="K152" s="20">
        <f t="shared" si="10"/>
        <v>95188.140000000043</v>
      </c>
    </row>
    <row r="153" spans="2:11" ht="18.75" x14ac:dyDescent="0.3">
      <c r="B153" s="48">
        <v>44402</v>
      </c>
      <c r="C153" s="21" t="s">
        <v>588</v>
      </c>
      <c r="D153" s="34"/>
      <c r="E153" s="18"/>
      <c r="F153" s="34"/>
      <c r="G153" s="18"/>
      <c r="H153" s="18">
        <v>95</v>
      </c>
      <c r="I153" s="19"/>
      <c r="J153" s="20">
        <f t="shared" si="9"/>
        <v>0</v>
      </c>
      <c r="K153" s="20">
        <f t="shared" si="10"/>
        <v>95093.140000000043</v>
      </c>
    </row>
    <row r="154" spans="2:11" ht="18.75" x14ac:dyDescent="0.3">
      <c r="B154" s="48">
        <v>44402</v>
      </c>
      <c r="C154" s="21" t="s">
        <v>309</v>
      </c>
      <c r="D154" s="34">
        <v>24800</v>
      </c>
      <c r="E154" s="18"/>
      <c r="F154" s="34"/>
      <c r="G154" s="18"/>
      <c r="H154" s="18"/>
      <c r="I154" s="19"/>
      <c r="J154" s="20">
        <f t="shared" si="9"/>
        <v>0</v>
      </c>
      <c r="K154" s="20">
        <f t="shared" si="10"/>
        <v>119893.14000000004</v>
      </c>
    </row>
    <row r="155" spans="2:11" ht="18.75" x14ac:dyDescent="0.3">
      <c r="B155" s="48">
        <v>44403</v>
      </c>
      <c r="C155" s="21" t="s">
        <v>589</v>
      </c>
      <c r="D155" s="34"/>
      <c r="E155" s="18"/>
      <c r="F155" s="34"/>
      <c r="G155" s="18"/>
      <c r="H155" s="18">
        <v>200</v>
      </c>
      <c r="I155" s="19"/>
      <c r="J155" s="20">
        <f t="shared" si="9"/>
        <v>0</v>
      </c>
      <c r="K155" s="20">
        <f t="shared" si="10"/>
        <v>119693.14000000004</v>
      </c>
    </row>
    <row r="156" spans="2:11" ht="18.75" x14ac:dyDescent="0.3">
      <c r="B156" s="48">
        <v>44403</v>
      </c>
      <c r="C156" s="21" t="s">
        <v>300</v>
      </c>
      <c r="D156" s="34"/>
      <c r="E156" s="18"/>
      <c r="F156" s="34"/>
      <c r="G156" s="18"/>
      <c r="H156" s="18">
        <v>73</v>
      </c>
      <c r="I156" s="19"/>
      <c r="J156" s="20">
        <f t="shared" si="9"/>
        <v>0</v>
      </c>
      <c r="K156" s="20">
        <f t="shared" si="10"/>
        <v>119620.14000000004</v>
      </c>
    </row>
    <row r="157" spans="2:11" ht="18.75" x14ac:dyDescent="0.3">
      <c r="B157" s="48">
        <v>44403</v>
      </c>
      <c r="C157" s="21" t="s">
        <v>108</v>
      </c>
      <c r="D157" s="34"/>
      <c r="E157" s="18"/>
      <c r="F157" s="34"/>
      <c r="G157" s="18"/>
      <c r="H157" s="18">
        <v>137.25</v>
      </c>
      <c r="I157" s="19"/>
      <c r="J157" s="20">
        <f t="shared" si="9"/>
        <v>0</v>
      </c>
      <c r="K157" s="20">
        <f t="shared" si="10"/>
        <v>119482.89000000004</v>
      </c>
    </row>
    <row r="158" spans="2:11" ht="18.75" x14ac:dyDescent="0.3">
      <c r="B158" s="48">
        <v>44403</v>
      </c>
      <c r="C158" s="21" t="s">
        <v>590</v>
      </c>
      <c r="D158" s="34"/>
      <c r="E158" s="18"/>
      <c r="F158" s="34"/>
      <c r="G158" s="18"/>
      <c r="H158" s="18">
        <v>750</v>
      </c>
      <c r="I158" s="19"/>
      <c r="J158" s="20">
        <f t="shared" si="9"/>
        <v>0</v>
      </c>
      <c r="K158" s="20">
        <f t="shared" si="10"/>
        <v>118732.89000000004</v>
      </c>
    </row>
    <row r="159" spans="2:11" ht="18.75" x14ac:dyDescent="0.3">
      <c r="B159" s="48">
        <v>44403</v>
      </c>
      <c r="C159" s="21" t="s">
        <v>591</v>
      </c>
      <c r="D159" s="34"/>
      <c r="E159" s="18"/>
      <c r="F159" s="34"/>
      <c r="G159" s="18"/>
      <c r="H159" s="18">
        <v>650</v>
      </c>
      <c r="I159" s="19"/>
      <c r="J159" s="20">
        <f t="shared" si="9"/>
        <v>0</v>
      </c>
      <c r="K159" s="20">
        <f t="shared" si="10"/>
        <v>118082.89000000004</v>
      </c>
    </row>
    <row r="160" spans="2:11" ht="18.75" x14ac:dyDescent="0.3">
      <c r="B160" s="48">
        <v>44404</v>
      </c>
      <c r="C160" s="21" t="s">
        <v>592</v>
      </c>
      <c r="D160" s="34"/>
      <c r="E160" s="18"/>
      <c r="F160" s="34"/>
      <c r="G160" s="18"/>
      <c r="H160" s="18">
        <v>42</v>
      </c>
      <c r="I160" s="19"/>
      <c r="J160" s="20">
        <f t="shared" si="9"/>
        <v>0</v>
      </c>
      <c r="K160" s="20">
        <f t="shared" si="10"/>
        <v>118040.89000000004</v>
      </c>
    </row>
    <row r="161" spans="1:14" ht="18.75" x14ac:dyDescent="0.3">
      <c r="B161" s="48">
        <v>44404</v>
      </c>
      <c r="C161" s="21" t="s">
        <v>593</v>
      </c>
      <c r="D161" s="34"/>
      <c r="E161" s="18"/>
      <c r="F161" s="34"/>
      <c r="G161" s="18"/>
      <c r="H161" s="18">
        <v>750</v>
      </c>
      <c r="I161" s="19"/>
      <c r="J161" s="20">
        <f t="shared" si="9"/>
        <v>0</v>
      </c>
      <c r="K161" s="20">
        <f t="shared" si="10"/>
        <v>117290.89000000004</v>
      </c>
    </row>
    <row r="162" spans="1:14" ht="18.75" x14ac:dyDescent="0.3">
      <c r="B162" s="42">
        <v>44404</v>
      </c>
      <c r="C162" s="41" t="s">
        <v>81</v>
      </c>
      <c r="D162" s="99"/>
      <c r="E162" s="23"/>
      <c r="F162" s="99"/>
      <c r="G162" s="23"/>
      <c r="H162" s="23">
        <v>2000</v>
      </c>
      <c r="I162" s="19"/>
      <c r="J162" s="20">
        <f t="shared" si="9"/>
        <v>0</v>
      </c>
      <c r="K162" s="20">
        <f t="shared" si="10"/>
        <v>115290.89000000004</v>
      </c>
    </row>
    <row r="163" spans="1:14" ht="18.75" x14ac:dyDescent="0.3">
      <c r="B163" s="48">
        <v>44404</v>
      </c>
      <c r="C163" s="21" t="s">
        <v>575</v>
      </c>
      <c r="D163" s="34"/>
      <c r="E163" s="18"/>
      <c r="F163" s="34"/>
      <c r="G163" s="18"/>
      <c r="H163" s="18">
        <v>280</v>
      </c>
      <c r="I163" s="19"/>
      <c r="J163" s="20">
        <f t="shared" si="9"/>
        <v>0</v>
      </c>
      <c r="K163" s="20">
        <f t="shared" si="10"/>
        <v>115010.89000000004</v>
      </c>
    </row>
    <row r="164" spans="1:14" ht="18.75" x14ac:dyDescent="0.3">
      <c r="A164" s="97"/>
      <c r="B164" s="48">
        <v>44404</v>
      </c>
      <c r="C164" s="21" t="s">
        <v>599</v>
      </c>
      <c r="D164" s="34"/>
      <c r="E164" s="18"/>
      <c r="F164" s="34"/>
      <c r="G164" s="18"/>
      <c r="H164" s="18">
        <v>199.9</v>
      </c>
      <c r="I164" s="19"/>
      <c r="J164" s="20">
        <f t="shared" si="9"/>
        <v>0</v>
      </c>
      <c r="K164" s="20">
        <f t="shared" si="10"/>
        <v>114810.99000000005</v>
      </c>
    </row>
    <row r="165" spans="1:14" ht="18.75" x14ac:dyDescent="0.3">
      <c r="B165" s="48">
        <v>44404</v>
      </c>
      <c r="C165" s="21" t="s">
        <v>600</v>
      </c>
      <c r="D165" s="34"/>
      <c r="E165" s="18"/>
      <c r="F165" s="34"/>
      <c r="G165" s="18"/>
      <c r="H165" s="18">
        <v>157.96</v>
      </c>
      <c r="I165" s="19"/>
      <c r="J165" s="20">
        <f t="shared" si="9"/>
        <v>0</v>
      </c>
      <c r="K165" s="20">
        <f t="shared" si="10"/>
        <v>114653.03000000004</v>
      </c>
    </row>
    <row r="166" spans="1:14" ht="18.75" x14ac:dyDescent="0.3">
      <c r="B166" s="48">
        <v>44404</v>
      </c>
      <c r="C166" s="21" t="s">
        <v>300</v>
      </c>
      <c r="D166" s="34"/>
      <c r="E166" s="18"/>
      <c r="F166" s="34"/>
      <c r="G166" s="18"/>
      <c r="H166" s="18">
        <v>37</v>
      </c>
      <c r="I166" s="19"/>
      <c r="J166" s="20">
        <f t="shared" si="9"/>
        <v>0</v>
      </c>
      <c r="K166" s="20">
        <f t="shared" si="10"/>
        <v>114616.03000000004</v>
      </c>
      <c r="M166" s="5">
        <v>900</v>
      </c>
      <c r="N166" t="s">
        <v>594</v>
      </c>
    </row>
    <row r="167" spans="1:14" ht="18.75" x14ac:dyDescent="0.3">
      <c r="B167" s="48">
        <v>44407</v>
      </c>
      <c r="C167" s="21" t="s">
        <v>380</v>
      </c>
      <c r="D167" s="34"/>
      <c r="E167" s="18"/>
      <c r="F167" s="34"/>
      <c r="G167" s="18"/>
      <c r="H167" s="18">
        <v>84</v>
      </c>
      <c r="I167" s="19"/>
      <c r="J167" s="20">
        <f t="shared" si="9"/>
        <v>0</v>
      </c>
      <c r="K167" s="20">
        <f t="shared" si="10"/>
        <v>114532.03000000004</v>
      </c>
      <c r="M167" s="5">
        <v>6800</v>
      </c>
      <c r="N167" t="s">
        <v>595</v>
      </c>
    </row>
    <row r="168" spans="1:14" ht="18.75" x14ac:dyDescent="0.3">
      <c r="B168" s="48">
        <v>44408</v>
      </c>
      <c r="C168" s="21" t="s">
        <v>601</v>
      </c>
      <c r="D168" s="34"/>
      <c r="E168" s="18"/>
      <c r="F168" s="34"/>
      <c r="G168" s="18"/>
      <c r="H168" s="18">
        <v>108</v>
      </c>
      <c r="I168" s="19"/>
      <c r="J168" s="20">
        <f t="shared" si="9"/>
        <v>0</v>
      </c>
      <c r="K168" s="20">
        <f t="shared" si="10"/>
        <v>114424.03000000004</v>
      </c>
      <c r="M168" s="5">
        <v>9000</v>
      </c>
      <c r="N168" t="s">
        <v>596</v>
      </c>
    </row>
    <row r="169" spans="1:14" ht="18.75" x14ac:dyDescent="0.3">
      <c r="B169" s="48">
        <v>44408</v>
      </c>
      <c r="C169" s="21" t="s">
        <v>602</v>
      </c>
      <c r="D169" s="34"/>
      <c r="E169" s="18"/>
      <c r="F169" s="34"/>
      <c r="G169" s="18"/>
      <c r="H169" s="18">
        <v>155</v>
      </c>
      <c r="I169" s="19"/>
      <c r="J169" s="20">
        <f t="shared" ref="J169:J180" si="11">+J168+E169-G169</f>
        <v>0</v>
      </c>
      <c r="K169" s="20">
        <f t="shared" ref="K169:K180" si="12">+K168+D169-H169</f>
        <v>114269.03000000004</v>
      </c>
      <c r="M169" s="5"/>
    </row>
    <row r="170" spans="1:14" ht="18.75" x14ac:dyDescent="0.3">
      <c r="B170" s="48">
        <v>44408</v>
      </c>
      <c r="C170" s="21" t="s">
        <v>602</v>
      </c>
      <c r="D170" s="34"/>
      <c r="E170" s="18"/>
      <c r="F170" s="34"/>
      <c r="G170" s="18"/>
      <c r="H170" s="18">
        <v>391</v>
      </c>
      <c r="I170" s="19"/>
      <c r="J170" s="20">
        <f t="shared" si="11"/>
        <v>0</v>
      </c>
      <c r="K170" s="20">
        <f t="shared" si="12"/>
        <v>113878.03000000004</v>
      </c>
      <c r="M170" s="5"/>
    </row>
    <row r="171" spans="1:14" ht="18.75" x14ac:dyDescent="0.3">
      <c r="B171" s="49">
        <v>44408</v>
      </c>
      <c r="C171" s="21" t="s">
        <v>184</v>
      </c>
      <c r="D171" s="34"/>
      <c r="E171" s="34"/>
      <c r="F171" s="34"/>
      <c r="G171" s="18"/>
      <c r="H171" s="18">
        <v>250</v>
      </c>
      <c r="I171" s="19"/>
      <c r="J171" s="20">
        <f t="shared" si="11"/>
        <v>0</v>
      </c>
      <c r="K171" s="20">
        <f t="shared" si="12"/>
        <v>113628.03000000004</v>
      </c>
      <c r="M171" s="5"/>
    </row>
    <row r="172" spans="1:14" ht="18.75" x14ac:dyDescent="0.3">
      <c r="B172" s="49">
        <v>44408</v>
      </c>
      <c r="C172" s="21" t="s">
        <v>185</v>
      </c>
      <c r="D172" s="34"/>
      <c r="E172" s="34"/>
      <c r="F172" s="34"/>
      <c r="G172" s="18"/>
      <c r="H172" s="18">
        <v>300</v>
      </c>
      <c r="I172" s="19"/>
      <c r="J172" s="20">
        <f t="shared" si="11"/>
        <v>0</v>
      </c>
      <c r="K172" s="20">
        <f t="shared" si="12"/>
        <v>113328.03000000004</v>
      </c>
      <c r="M172" s="5">
        <v>33800</v>
      </c>
      <c r="N172" t="s">
        <v>597</v>
      </c>
    </row>
    <row r="173" spans="1:14" ht="18.75" x14ac:dyDescent="0.3">
      <c r="B173" s="49">
        <v>44408</v>
      </c>
      <c r="C173" s="21" t="s">
        <v>186</v>
      </c>
      <c r="D173" s="34"/>
      <c r="E173" s="34"/>
      <c r="F173" s="34"/>
      <c r="G173" s="18"/>
      <c r="H173" s="18">
        <v>650</v>
      </c>
      <c r="I173" s="19"/>
      <c r="J173" s="20">
        <f t="shared" si="11"/>
        <v>0</v>
      </c>
      <c r="K173" s="20">
        <f t="shared" si="12"/>
        <v>112678.03000000004</v>
      </c>
      <c r="M173" s="5">
        <v>5000</v>
      </c>
      <c r="N173" t="s">
        <v>598</v>
      </c>
    </row>
    <row r="174" spans="1:14" ht="18.75" x14ac:dyDescent="0.3">
      <c r="B174" s="49">
        <v>44408</v>
      </c>
      <c r="C174" s="24" t="s">
        <v>518</v>
      </c>
      <c r="D174" s="34"/>
      <c r="E174" s="34"/>
      <c r="F174" s="34"/>
      <c r="G174" s="18"/>
      <c r="H174" s="18">
        <v>4550</v>
      </c>
      <c r="I174" s="19"/>
      <c r="J174" s="20">
        <f t="shared" si="11"/>
        <v>0</v>
      </c>
      <c r="K174" s="20">
        <f t="shared" si="12"/>
        <v>108128.03000000004</v>
      </c>
    </row>
    <row r="175" spans="1:14" ht="18.75" x14ac:dyDescent="0.3">
      <c r="B175" s="49">
        <v>44408</v>
      </c>
      <c r="C175" s="21" t="s">
        <v>80</v>
      </c>
      <c r="D175" s="34"/>
      <c r="E175" s="34"/>
      <c r="F175" s="34"/>
      <c r="G175" s="18"/>
      <c r="H175" s="18">
        <v>3400</v>
      </c>
      <c r="I175" s="19"/>
      <c r="J175" s="20">
        <f t="shared" si="11"/>
        <v>0</v>
      </c>
      <c r="K175" s="20">
        <f t="shared" si="12"/>
        <v>104728.03000000004</v>
      </c>
    </row>
    <row r="176" spans="1:14" ht="18.75" x14ac:dyDescent="0.3">
      <c r="B176" s="49">
        <v>44408</v>
      </c>
      <c r="C176" s="24" t="s">
        <v>778</v>
      </c>
      <c r="D176" s="34">
        <v>9000</v>
      </c>
      <c r="E176" s="34"/>
      <c r="F176" s="34"/>
      <c r="G176" s="18"/>
      <c r="H176" s="18"/>
      <c r="I176" s="19"/>
      <c r="J176" s="20">
        <f t="shared" si="11"/>
        <v>0</v>
      </c>
      <c r="K176" s="20">
        <f t="shared" si="12"/>
        <v>113728.03000000004</v>
      </c>
    </row>
    <row r="177" spans="2:11" ht="18.75" x14ac:dyDescent="0.3">
      <c r="B177" s="49">
        <v>44408</v>
      </c>
      <c r="C177" s="24" t="s">
        <v>88</v>
      </c>
      <c r="D177" s="34"/>
      <c r="E177" s="18"/>
      <c r="F177" s="18"/>
      <c r="G177" s="18"/>
      <c r="H177" s="18">
        <v>9000</v>
      </c>
      <c r="I177" s="19"/>
      <c r="J177" s="20">
        <f t="shared" si="11"/>
        <v>0</v>
      </c>
      <c r="K177" s="20">
        <f t="shared" si="12"/>
        <v>104728.03000000004</v>
      </c>
    </row>
    <row r="178" spans="2:11" ht="18.75" x14ac:dyDescent="0.3">
      <c r="B178" s="49">
        <v>44408</v>
      </c>
      <c r="C178" s="24" t="s">
        <v>89</v>
      </c>
      <c r="D178" s="34"/>
      <c r="E178" s="18"/>
      <c r="F178" s="18"/>
      <c r="G178" s="18"/>
      <c r="H178" s="18">
        <v>29250</v>
      </c>
      <c r="I178" s="19"/>
      <c r="J178" s="20">
        <f t="shared" si="11"/>
        <v>0</v>
      </c>
      <c r="K178" s="20">
        <f t="shared" si="12"/>
        <v>75478.030000000042</v>
      </c>
    </row>
    <row r="179" spans="2:11" ht="18.75" x14ac:dyDescent="0.3">
      <c r="B179" s="49">
        <v>44408</v>
      </c>
      <c r="C179" s="43" t="s">
        <v>84</v>
      </c>
      <c r="D179" s="34"/>
      <c r="E179" s="18"/>
      <c r="F179" s="18"/>
      <c r="G179" s="18"/>
      <c r="H179" s="18">
        <v>5500</v>
      </c>
      <c r="I179" s="19"/>
      <c r="J179" s="20">
        <f t="shared" si="11"/>
        <v>0</v>
      </c>
      <c r="K179" s="20">
        <f t="shared" si="12"/>
        <v>69978.030000000042</v>
      </c>
    </row>
    <row r="180" spans="2:11" ht="19.5" thickBot="1" x14ac:dyDescent="0.35">
      <c r="B180" s="49"/>
      <c r="C180" s="24"/>
      <c r="D180" s="34"/>
      <c r="E180" s="34"/>
      <c r="F180" s="34"/>
      <c r="G180" s="18"/>
      <c r="H180" s="18"/>
      <c r="I180" s="19"/>
      <c r="J180" s="20">
        <f t="shared" si="11"/>
        <v>0</v>
      </c>
      <c r="K180" s="20">
        <f t="shared" si="12"/>
        <v>69978.030000000042</v>
      </c>
    </row>
    <row r="181" spans="2:11" ht="19.5" thickBot="1" x14ac:dyDescent="0.35">
      <c r="B181" s="25"/>
      <c r="C181" s="26" t="s">
        <v>0</v>
      </c>
      <c r="D181" s="27">
        <f>SUM(D144:D180)</f>
        <v>182650</v>
      </c>
      <c r="E181" s="28">
        <f>SUM(E144:E180)</f>
        <v>0</v>
      </c>
      <c r="F181" s="29">
        <f>SUM(D181:E181)</f>
        <v>182650</v>
      </c>
      <c r="G181" s="30">
        <f>SUM(G88:G180)</f>
        <v>0</v>
      </c>
      <c r="H181" s="27">
        <f>SUM(H144:H180)</f>
        <v>169137.16999999998</v>
      </c>
      <c r="I181" s="29">
        <f>SUM(G181:H181)</f>
        <v>169137.16999999998</v>
      </c>
      <c r="J181" s="31"/>
      <c r="K181" s="31"/>
    </row>
    <row r="182" spans="2:11" ht="15.75" thickBot="1" x14ac:dyDescent="0.3"/>
    <row r="183" spans="2:11" ht="19.5" thickBot="1" x14ac:dyDescent="0.35">
      <c r="I183" s="35" t="s">
        <v>7</v>
      </c>
      <c r="J183" s="35" t="s">
        <v>6</v>
      </c>
      <c r="K183" s="36" t="s">
        <v>0</v>
      </c>
    </row>
    <row r="184" spans="2:11" ht="19.5" thickBot="1" x14ac:dyDescent="0.35">
      <c r="I184" s="37">
        <v>0</v>
      </c>
      <c r="J184" s="37">
        <v>69978.03</v>
      </c>
      <c r="K184" s="31">
        <f>SUM(I184:J184)</f>
        <v>69978.03</v>
      </c>
    </row>
    <row r="189" spans="2:11" x14ac:dyDescent="0.25">
      <c r="K189">
        <v>69676.09</v>
      </c>
    </row>
    <row r="190" spans="2:11" ht="21" x14ac:dyDescent="0.35">
      <c r="H190">
        <v>38000</v>
      </c>
      <c r="K190" s="93">
        <v>69976.09</v>
      </c>
    </row>
    <row r="191" spans="2:11" x14ac:dyDescent="0.25">
      <c r="H191">
        <v>9000</v>
      </c>
    </row>
  </sheetData>
  <printOptions verticalCentered="1"/>
  <pageMargins left="0" right="0" top="0" bottom="0" header="0.31496062992125984" footer="0.31496062992125984"/>
  <pageSetup paperSize="9" scale="68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>
    <pageSetUpPr fitToPage="1"/>
  </sheetPr>
  <dimension ref="B1:M107"/>
  <sheetViews>
    <sheetView zoomScale="80" zoomScaleNormal="80" workbookViewId="0">
      <pane ySplit="3" topLeftCell="A85" activePane="bottomLeft" state="frozen"/>
      <selection activeCell="B1" sqref="B1"/>
      <selection pane="bottomLeft" activeCell="C98" sqref="C98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B1" s="39"/>
      <c r="C1" s="6" t="s">
        <v>24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44408</v>
      </c>
      <c r="C4" s="12" t="s">
        <v>25</v>
      </c>
      <c r="D4" s="13"/>
      <c r="E4" s="14"/>
      <c r="F4" s="14"/>
      <c r="G4" s="14"/>
      <c r="H4" s="15"/>
      <c r="I4" s="16"/>
      <c r="J4" s="53">
        <v>0</v>
      </c>
      <c r="K4" s="53">
        <v>69978.03</v>
      </c>
    </row>
    <row r="5" spans="2:11" ht="18.75" x14ac:dyDescent="0.3">
      <c r="B5" s="11">
        <v>44317</v>
      </c>
      <c r="C5" s="40" t="s">
        <v>43</v>
      </c>
      <c r="D5" s="98">
        <v>32350</v>
      </c>
      <c r="E5" s="14"/>
      <c r="F5" s="14"/>
      <c r="G5" s="14"/>
      <c r="H5" s="15"/>
      <c r="I5" s="16"/>
      <c r="J5" s="20">
        <f>+J4+E5-G5</f>
        <v>0</v>
      </c>
      <c r="K5" s="20">
        <f>+K4+D5-H5</f>
        <v>102328.03</v>
      </c>
    </row>
    <row r="6" spans="2:11" ht="18.75" x14ac:dyDescent="0.3">
      <c r="B6" s="11">
        <v>44409</v>
      </c>
      <c r="C6" s="17" t="s">
        <v>557</v>
      </c>
      <c r="D6" s="34"/>
      <c r="E6" s="18"/>
      <c r="F6" s="18"/>
      <c r="G6" s="18"/>
      <c r="H6" s="18">
        <v>92.4</v>
      </c>
      <c r="I6" s="19"/>
      <c r="J6" s="20">
        <f t="shared" ref="J6:J44" si="0">+J5+E6-G6</f>
        <v>0</v>
      </c>
      <c r="K6" s="20">
        <f t="shared" ref="K6:K44" si="1">+K5+D6-H6</f>
        <v>102235.63</v>
      </c>
    </row>
    <row r="7" spans="2:11" ht="18.75" x14ac:dyDescent="0.3">
      <c r="B7" s="22">
        <v>44409</v>
      </c>
      <c r="C7" s="21" t="s">
        <v>464</v>
      </c>
      <c r="D7" s="34"/>
      <c r="E7" s="18"/>
      <c r="F7" s="18"/>
      <c r="G7" s="18"/>
      <c r="H7" s="18">
        <v>100</v>
      </c>
      <c r="I7" s="19"/>
      <c r="J7" s="20">
        <f t="shared" si="0"/>
        <v>0</v>
      </c>
      <c r="K7" s="20">
        <f t="shared" si="1"/>
        <v>102135.63</v>
      </c>
    </row>
    <row r="8" spans="2:11" ht="18.75" x14ac:dyDescent="0.3">
      <c r="B8" s="22">
        <v>44409</v>
      </c>
      <c r="C8" s="41" t="s">
        <v>153</v>
      </c>
      <c r="D8" s="34"/>
      <c r="E8" s="18"/>
      <c r="F8" s="18"/>
      <c r="G8" s="18"/>
      <c r="H8" s="18">
        <v>200</v>
      </c>
      <c r="I8" s="19"/>
      <c r="J8" s="20">
        <f t="shared" si="0"/>
        <v>0</v>
      </c>
      <c r="K8" s="20">
        <f t="shared" si="1"/>
        <v>101935.63</v>
      </c>
    </row>
    <row r="9" spans="2:11" ht="18.75" x14ac:dyDescent="0.3">
      <c r="B9" s="22">
        <v>44409</v>
      </c>
      <c r="C9" s="21" t="s">
        <v>605</v>
      </c>
      <c r="D9" s="34"/>
      <c r="E9" s="18"/>
      <c r="F9" s="18"/>
      <c r="G9" s="18"/>
      <c r="H9" s="18">
        <v>150</v>
      </c>
      <c r="I9" s="19"/>
      <c r="J9" s="20">
        <f t="shared" si="0"/>
        <v>0</v>
      </c>
      <c r="K9" s="20">
        <f t="shared" si="1"/>
        <v>101785.63</v>
      </c>
    </row>
    <row r="10" spans="2:11" ht="18.75" x14ac:dyDescent="0.3">
      <c r="B10" s="22">
        <v>44409</v>
      </c>
      <c r="C10" s="21" t="s">
        <v>606</v>
      </c>
      <c r="D10" s="34"/>
      <c r="E10" s="18"/>
      <c r="F10" s="18"/>
      <c r="G10" s="18"/>
      <c r="H10" s="18">
        <v>200</v>
      </c>
      <c r="I10" s="19"/>
      <c r="J10" s="20">
        <f t="shared" si="0"/>
        <v>0</v>
      </c>
      <c r="K10" s="20">
        <f t="shared" si="1"/>
        <v>101585.63</v>
      </c>
    </row>
    <row r="11" spans="2:11" ht="18.75" x14ac:dyDescent="0.3">
      <c r="B11" s="22">
        <v>44409</v>
      </c>
      <c r="C11" s="41" t="s">
        <v>607</v>
      </c>
      <c r="D11" s="34"/>
      <c r="E11" s="18"/>
      <c r="F11" s="18"/>
      <c r="G11" s="18"/>
      <c r="H11" s="18">
        <v>300</v>
      </c>
      <c r="I11" s="19"/>
      <c r="J11" s="20">
        <f t="shared" si="0"/>
        <v>0</v>
      </c>
      <c r="K11" s="20">
        <f t="shared" si="1"/>
        <v>101285.63</v>
      </c>
    </row>
    <row r="12" spans="2:11" ht="18.75" x14ac:dyDescent="0.3">
      <c r="B12" s="22">
        <v>44410</v>
      </c>
      <c r="C12" s="24" t="s">
        <v>608</v>
      </c>
      <c r="D12" s="34"/>
      <c r="E12" s="18"/>
      <c r="F12" s="18"/>
      <c r="G12" s="18"/>
      <c r="H12" s="18">
        <v>199.9</v>
      </c>
      <c r="I12" s="19"/>
      <c r="J12" s="20">
        <f t="shared" si="0"/>
        <v>0</v>
      </c>
      <c r="K12" s="20">
        <f t="shared" si="1"/>
        <v>101085.73000000001</v>
      </c>
    </row>
    <row r="13" spans="2:11" ht="18.75" x14ac:dyDescent="0.3">
      <c r="B13" s="22">
        <v>44229</v>
      </c>
      <c r="C13" s="21" t="s">
        <v>325</v>
      </c>
      <c r="D13" s="34"/>
      <c r="E13" s="18"/>
      <c r="F13" s="18"/>
      <c r="G13" s="18"/>
      <c r="H13" s="18">
        <v>126</v>
      </c>
      <c r="I13" s="19"/>
      <c r="J13" s="20">
        <f t="shared" si="0"/>
        <v>0</v>
      </c>
      <c r="K13" s="20">
        <f t="shared" si="1"/>
        <v>100959.73000000001</v>
      </c>
    </row>
    <row r="14" spans="2:11" ht="18.75" x14ac:dyDescent="0.3">
      <c r="B14" s="22">
        <v>44410</v>
      </c>
      <c r="C14" s="21" t="s">
        <v>609</v>
      </c>
      <c r="D14" s="34"/>
      <c r="E14" s="18"/>
      <c r="F14" s="18"/>
      <c r="G14" s="18"/>
      <c r="H14" s="18">
        <v>98.99</v>
      </c>
      <c r="I14" s="19"/>
      <c r="J14" s="20">
        <f t="shared" si="0"/>
        <v>0</v>
      </c>
      <c r="K14" s="20">
        <f t="shared" si="1"/>
        <v>100860.74</v>
      </c>
    </row>
    <row r="15" spans="2:11" ht="18.75" x14ac:dyDescent="0.3">
      <c r="B15" s="22">
        <v>44411</v>
      </c>
      <c r="C15" s="21" t="s">
        <v>300</v>
      </c>
      <c r="D15" s="34"/>
      <c r="E15" s="18"/>
      <c r="F15" s="18"/>
      <c r="G15" s="18"/>
      <c r="H15" s="18">
        <v>33.5</v>
      </c>
      <c r="I15" s="19"/>
      <c r="J15" s="20">
        <f t="shared" si="0"/>
        <v>0</v>
      </c>
      <c r="K15" s="20">
        <f t="shared" si="1"/>
        <v>100827.24</v>
      </c>
    </row>
    <row r="16" spans="2:11" ht="18.75" x14ac:dyDescent="0.3">
      <c r="B16" s="22">
        <v>44411</v>
      </c>
      <c r="C16" s="41" t="s">
        <v>524</v>
      </c>
      <c r="D16" s="34"/>
      <c r="E16" s="18"/>
      <c r="F16" s="18"/>
      <c r="G16" s="18"/>
      <c r="H16" s="18">
        <v>450</v>
      </c>
      <c r="I16" s="19"/>
      <c r="J16" s="20">
        <f t="shared" si="0"/>
        <v>0</v>
      </c>
      <c r="K16" s="20">
        <f t="shared" si="1"/>
        <v>100377.24</v>
      </c>
    </row>
    <row r="17" spans="2:11" ht="18.75" x14ac:dyDescent="0.3">
      <c r="B17" s="22">
        <v>44411</v>
      </c>
      <c r="C17" s="21" t="s">
        <v>610</v>
      </c>
      <c r="D17" s="34"/>
      <c r="E17" s="18"/>
      <c r="F17" s="18"/>
      <c r="G17" s="18"/>
      <c r="H17" s="18">
        <v>300</v>
      </c>
      <c r="I17" s="19"/>
      <c r="J17" s="20">
        <f t="shared" si="0"/>
        <v>0</v>
      </c>
      <c r="K17" s="20">
        <f t="shared" si="1"/>
        <v>100077.24</v>
      </c>
    </row>
    <row r="18" spans="2:11" ht="18.75" x14ac:dyDescent="0.3">
      <c r="B18" s="22">
        <v>44258</v>
      </c>
      <c r="C18" s="21" t="s">
        <v>611</v>
      </c>
      <c r="D18" s="34"/>
      <c r="E18" s="18"/>
      <c r="F18" s="18"/>
      <c r="G18" s="18"/>
      <c r="H18" s="18">
        <v>3000</v>
      </c>
      <c r="I18" s="19"/>
      <c r="J18" s="20">
        <f t="shared" si="0"/>
        <v>0</v>
      </c>
      <c r="K18" s="20">
        <f t="shared" si="1"/>
        <v>97077.24</v>
      </c>
    </row>
    <row r="19" spans="2:11" ht="18.75" x14ac:dyDescent="0.3">
      <c r="B19" s="22">
        <v>44353</v>
      </c>
      <c r="C19" s="21" t="s">
        <v>612</v>
      </c>
      <c r="D19" s="34"/>
      <c r="E19" s="18"/>
      <c r="F19" s="18"/>
      <c r="G19" s="18"/>
      <c r="H19" s="18">
        <v>1600</v>
      </c>
      <c r="I19" s="19"/>
      <c r="J19" s="20">
        <f t="shared" si="0"/>
        <v>0</v>
      </c>
      <c r="K19" s="20">
        <f t="shared" si="1"/>
        <v>95477.24</v>
      </c>
    </row>
    <row r="20" spans="2:11" ht="18.75" x14ac:dyDescent="0.3">
      <c r="B20" s="22">
        <v>44414</v>
      </c>
      <c r="C20" s="21" t="s">
        <v>613</v>
      </c>
      <c r="D20" s="34"/>
      <c r="E20" s="18"/>
      <c r="F20" s="18"/>
      <c r="G20" s="18"/>
      <c r="H20" s="18">
        <v>3850</v>
      </c>
      <c r="I20" s="19"/>
      <c r="J20" s="20">
        <f t="shared" si="0"/>
        <v>0</v>
      </c>
      <c r="K20" s="20">
        <f t="shared" si="1"/>
        <v>91627.24</v>
      </c>
    </row>
    <row r="21" spans="2:11" ht="18.75" x14ac:dyDescent="0.3">
      <c r="B21" s="22">
        <v>44414</v>
      </c>
      <c r="C21" s="21" t="s">
        <v>325</v>
      </c>
      <c r="D21" s="34"/>
      <c r="E21" s="18"/>
      <c r="F21" s="18"/>
      <c r="G21" s="18"/>
      <c r="H21" s="18">
        <v>126</v>
      </c>
      <c r="I21" s="19"/>
      <c r="J21" s="20">
        <f t="shared" si="0"/>
        <v>0</v>
      </c>
      <c r="K21" s="20">
        <f t="shared" si="1"/>
        <v>91501.24</v>
      </c>
    </row>
    <row r="22" spans="2:11" ht="18.75" x14ac:dyDescent="0.3">
      <c r="B22" s="22">
        <v>44414</v>
      </c>
      <c r="C22" s="21" t="s">
        <v>614</v>
      </c>
      <c r="D22" s="34"/>
      <c r="E22" s="18"/>
      <c r="F22" s="18"/>
      <c r="G22" s="18"/>
      <c r="H22" s="18">
        <v>786</v>
      </c>
      <c r="I22" s="19"/>
      <c r="J22" s="20">
        <f t="shared" si="0"/>
        <v>0</v>
      </c>
      <c r="K22" s="20">
        <f t="shared" si="1"/>
        <v>90715.24</v>
      </c>
    </row>
    <row r="23" spans="2:11" ht="18.75" x14ac:dyDescent="0.3">
      <c r="B23" s="22">
        <v>44414</v>
      </c>
      <c r="C23" s="21" t="s">
        <v>611</v>
      </c>
      <c r="D23" s="34"/>
      <c r="E23" s="18"/>
      <c r="F23" s="18"/>
      <c r="G23" s="18"/>
      <c r="H23" s="18">
        <v>2500</v>
      </c>
      <c r="I23" s="19"/>
      <c r="J23" s="20">
        <f t="shared" si="0"/>
        <v>0</v>
      </c>
      <c r="K23" s="20">
        <f t="shared" si="1"/>
        <v>88215.24</v>
      </c>
    </row>
    <row r="24" spans="2:11" ht="18.75" x14ac:dyDescent="0.3">
      <c r="B24" s="22">
        <v>44414</v>
      </c>
      <c r="C24" s="54" t="s">
        <v>81</v>
      </c>
      <c r="D24" s="34"/>
      <c r="E24" s="34"/>
      <c r="F24" s="18"/>
      <c r="G24" s="18"/>
      <c r="H24" s="18">
        <v>5000</v>
      </c>
      <c r="I24" s="19"/>
      <c r="J24" s="20">
        <f t="shared" si="0"/>
        <v>0</v>
      </c>
      <c r="K24" s="20">
        <f t="shared" si="1"/>
        <v>83215.240000000005</v>
      </c>
    </row>
    <row r="25" spans="2:11" ht="18.75" x14ac:dyDescent="0.3">
      <c r="B25" s="22">
        <v>44414</v>
      </c>
      <c r="C25" s="21" t="s">
        <v>615</v>
      </c>
      <c r="D25" s="34"/>
      <c r="E25" s="34"/>
      <c r="F25" s="18"/>
      <c r="G25" s="18"/>
      <c r="H25" s="18">
        <v>322</v>
      </c>
      <c r="I25" s="19"/>
      <c r="J25" s="20">
        <f t="shared" si="0"/>
        <v>0</v>
      </c>
      <c r="K25" s="20">
        <f t="shared" si="1"/>
        <v>82893.240000000005</v>
      </c>
    </row>
    <row r="26" spans="2:11" ht="18.75" x14ac:dyDescent="0.3">
      <c r="B26" s="42">
        <v>44415</v>
      </c>
      <c r="C26" s="21" t="s">
        <v>608</v>
      </c>
      <c r="D26" s="34"/>
      <c r="E26" s="34"/>
      <c r="F26" s="18"/>
      <c r="G26" s="18"/>
      <c r="H26" s="18">
        <v>199.34</v>
      </c>
      <c r="I26" s="19"/>
      <c r="J26" s="20">
        <f t="shared" si="0"/>
        <v>0</v>
      </c>
      <c r="K26" s="20">
        <f t="shared" si="1"/>
        <v>82693.900000000009</v>
      </c>
    </row>
    <row r="27" spans="2:11" ht="18.75" x14ac:dyDescent="0.3">
      <c r="B27" s="46">
        <v>44415</v>
      </c>
      <c r="C27" s="21" t="s">
        <v>616</v>
      </c>
      <c r="D27" s="34"/>
      <c r="E27" s="34"/>
      <c r="F27" s="34"/>
      <c r="G27" s="18"/>
      <c r="H27" s="18">
        <v>216</v>
      </c>
      <c r="I27" s="19"/>
      <c r="J27" s="20">
        <f t="shared" si="0"/>
        <v>0</v>
      </c>
      <c r="K27" s="20">
        <f t="shared" si="1"/>
        <v>82477.900000000009</v>
      </c>
    </row>
    <row r="28" spans="2:11" ht="18.75" x14ac:dyDescent="0.3">
      <c r="B28" s="44">
        <v>44416</v>
      </c>
      <c r="C28" s="33" t="s">
        <v>482</v>
      </c>
      <c r="D28" s="34"/>
      <c r="E28" s="34"/>
      <c r="F28" s="34"/>
      <c r="G28" s="34"/>
      <c r="H28" s="18">
        <v>100</v>
      </c>
      <c r="I28" s="19"/>
      <c r="J28" s="20">
        <f t="shared" si="0"/>
        <v>0</v>
      </c>
      <c r="K28" s="20">
        <f t="shared" si="1"/>
        <v>82377.900000000009</v>
      </c>
    </row>
    <row r="29" spans="2:11" ht="18.75" x14ac:dyDescent="0.3">
      <c r="B29" s="42">
        <v>44416</v>
      </c>
      <c r="C29" s="33" t="s">
        <v>483</v>
      </c>
      <c r="D29" s="34"/>
      <c r="E29" s="18"/>
      <c r="F29" s="18"/>
      <c r="G29" s="18"/>
      <c r="H29" s="18">
        <v>200</v>
      </c>
      <c r="I29" s="19"/>
      <c r="J29" s="20">
        <f t="shared" si="0"/>
        <v>0</v>
      </c>
      <c r="K29" s="20">
        <f t="shared" si="1"/>
        <v>82177.900000000009</v>
      </c>
    </row>
    <row r="30" spans="2:11" ht="18.75" x14ac:dyDescent="0.3">
      <c r="B30" s="42">
        <v>44416</v>
      </c>
      <c r="C30" s="43" t="s">
        <v>617</v>
      </c>
      <c r="D30" s="34"/>
      <c r="E30" s="18"/>
      <c r="F30" s="18"/>
      <c r="G30" s="18"/>
      <c r="H30" s="18">
        <v>150</v>
      </c>
      <c r="I30" s="19"/>
      <c r="J30" s="20">
        <f t="shared" si="0"/>
        <v>0</v>
      </c>
      <c r="K30" s="20">
        <f t="shared" si="1"/>
        <v>82027.900000000009</v>
      </c>
    </row>
    <row r="31" spans="2:11" ht="18.75" x14ac:dyDescent="0.3">
      <c r="B31" s="42">
        <v>44416</v>
      </c>
      <c r="C31" s="33" t="s">
        <v>99</v>
      </c>
      <c r="D31" s="34"/>
      <c r="E31" s="18"/>
      <c r="F31" s="18"/>
      <c r="G31" s="18"/>
      <c r="H31" s="18">
        <v>300</v>
      </c>
      <c r="I31" s="19"/>
      <c r="J31" s="20">
        <f t="shared" si="0"/>
        <v>0</v>
      </c>
      <c r="K31" s="20">
        <f t="shared" si="1"/>
        <v>81727.900000000009</v>
      </c>
    </row>
    <row r="32" spans="2:11" ht="18.75" x14ac:dyDescent="0.3">
      <c r="B32" s="42">
        <v>44416</v>
      </c>
      <c r="C32" s="33" t="s">
        <v>618</v>
      </c>
      <c r="D32" s="34"/>
      <c r="E32" s="18"/>
      <c r="F32" s="18"/>
      <c r="G32" s="18"/>
      <c r="H32" s="18">
        <v>200</v>
      </c>
      <c r="I32" s="19"/>
      <c r="J32" s="20">
        <f t="shared" si="0"/>
        <v>0</v>
      </c>
      <c r="K32" s="20">
        <f t="shared" si="1"/>
        <v>81527.900000000009</v>
      </c>
    </row>
    <row r="33" spans="2:11" ht="18.75" x14ac:dyDescent="0.3">
      <c r="B33" s="42">
        <v>44416</v>
      </c>
      <c r="C33" s="33" t="s">
        <v>619</v>
      </c>
      <c r="D33" s="34"/>
      <c r="E33" s="18"/>
      <c r="F33" s="18"/>
      <c r="G33" s="18"/>
      <c r="H33" s="18">
        <v>250</v>
      </c>
      <c r="I33" s="19"/>
      <c r="J33" s="20">
        <f t="shared" si="0"/>
        <v>0</v>
      </c>
      <c r="K33" s="20">
        <f t="shared" si="1"/>
        <v>81277.900000000009</v>
      </c>
    </row>
    <row r="34" spans="2:11" ht="18.75" x14ac:dyDescent="0.3">
      <c r="B34" s="49">
        <v>44416</v>
      </c>
      <c r="C34" s="51" t="s">
        <v>60</v>
      </c>
      <c r="D34" s="34">
        <v>23900</v>
      </c>
      <c r="E34" s="18"/>
      <c r="F34" s="18"/>
      <c r="G34" s="18"/>
      <c r="H34" s="18"/>
      <c r="I34" s="19"/>
      <c r="J34" s="20">
        <f t="shared" si="0"/>
        <v>0</v>
      </c>
      <c r="K34" s="20">
        <f t="shared" si="1"/>
        <v>105177.90000000001</v>
      </c>
    </row>
    <row r="35" spans="2:11" ht="18.75" x14ac:dyDescent="0.3">
      <c r="B35" s="42">
        <v>44417</v>
      </c>
      <c r="C35" s="33" t="s">
        <v>621</v>
      </c>
      <c r="D35" s="34"/>
      <c r="E35" s="18"/>
      <c r="F35" s="18"/>
      <c r="G35" s="18"/>
      <c r="H35" s="18">
        <v>42</v>
      </c>
      <c r="I35" s="19"/>
      <c r="J35" s="20">
        <f t="shared" si="0"/>
        <v>0</v>
      </c>
      <c r="K35" s="20">
        <f t="shared" si="1"/>
        <v>105135.90000000001</v>
      </c>
    </row>
    <row r="36" spans="2:11" ht="18.75" x14ac:dyDescent="0.3">
      <c r="B36" s="57">
        <v>44417</v>
      </c>
      <c r="C36" s="43" t="s">
        <v>622</v>
      </c>
      <c r="D36" s="34"/>
      <c r="E36" s="18"/>
      <c r="F36" s="18"/>
      <c r="G36" s="18"/>
      <c r="H36" s="18">
        <v>262.39999999999998</v>
      </c>
      <c r="I36" s="19"/>
      <c r="J36" s="20">
        <f t="shared" si="0"/>
        <v>0</v>
      </c>
      <c r="K36" s="20">
        <f t="shared" si="1"/>
        <v>104873.50000000001</v>
      </c>
    </row>
    <row r="37" spans="2:11" ht="18.75" x14ac:dyDescent="0.3">
      <c r="B37" s="42">
        <v>44417</v>
      </c>
      <c r="C37" s="56" t="s">
        <v>623</v>
      </c>
      <c r="D37" s="34"/>
      <c r="E37" s="18"/>
      <c r="F37" s="18"/>
      <c r="G37" s="18"/>
      <c r="H37" s="18">
        <v>202.76</v>
      </c>
      <c r="I37" s="19"/>
      <c r="J37" s="20">
        <f t="shared" si="0"/>
        <v>0</v>
      </c>
      <c r="K37" s="20">
        <f t="shared" si="1"/>
        <v>104670.74000000002</v>
      </c>
    </row>
    <row r="38" spans="2:11" ht="18.75" x14ac:dyDescent="0.3">
      <c r="B38" s="42">
        <v>44418</v>
      </c>
      <c r="C38" s="43" t="s">
        <v>448</v>
      </c>
      <c r="D38" s="34"/>
      <c r="E38" s="18"/>
      <c r="F38" s="18"/>
      <c r="G38" s="18"/>
      <c r="H38" s="18">
        <v>3000</v>
      </c>
      <c r="I38" s="19"/>
      <c r="J38" s="20">
        <f t="shared" si="0"/>
        <v>0</v>
      </c>
      <c r="K38" s="20">
        <f t="shared" si="1"/>
        <v>101670.74000000002</v>
      </c>
    </row>
    <row r="39" spans="2:11" ht="18.75" x14ac:dyDescent="0.3">
      <c r="B39" s="42">
        <v>44418</v>
      </c>
      <c r="C39" s="54" t="s">
        <v>620</v>
      </c>
      <c r="D39" s="34"/>
      <c r="E39" s="18"/>
      <c r="F39" s="18"/>
      <c r="G39" s="18"/>
      <c r="H39" s="18">
        <v>1785</v>
      </c>
      <c r="I39" s="19"/>
      <c r="J39" s="20">
        <f t="shared" si="0"/>
        <v>0</v>
      </c>
      <c r="K39" s="20">
        <f t="shared" si="1"/>
        <v>99885.74000000002</v>
      </c>
    </row>
    <row r="40" spans="2:11" ht="18.75" x14ac:dyDescent="0.3">
      <c r="B40" s="45">
        <v>44419</v>
      </c>
      <c r="C40" s="32" t="s">
        <v>624</v>
      </c>
      <c r="D40" s="34"/>
      <c r="E40" s="18"/>
      <c r="F40" s="18"/>
      <c r="G40" s="18"/>
      <c r="H40" s="18">
        <v>130</v>
      </c>
      <c r="I40" s="19"/>
      <c r="J40" s="20">
        <f t="shared" si="0"/>
        <v>0</v>
      </c>
      <c r="K40" s="20">
        <f t="shared" si="1"/>
        <v>99755.74000000002</v>
      </c>
    </row>
    <row r="41" spans="2:11" ht="18.75" x14ac:dyDescent="0.3">
      <c r="B41" s="44">
        <v>44419</v>
      </c>
      <c r="C41" s="33" t="s">
        <v>300</v>
      </c>
      <c r="D41" s="34"/>
      <c r="E41" s="18"/>
      <c r="F41" s="18"/>
      <c r="G41" s="18"/>
      <c r="H41" s="18">
        <v>108</v>
      </c>
      <c r="I41" s="19"/>
      <c r="J41" s="20">
        <f t="shared" si="0"/>
        <v>0</v>
      </c>
      <c r="K41" s="20">
        <f t="shared" si="1"/>
        <v>99647.74000000002</v>
      </c>
    </row>
    <row r="42" spans="2:11" ht="18.75" x14ac:dyDescent="0.3">
      <c r="B42" s="42">
        <v>44420</v>
      </c>
      <c r="C42" s="33" t="s">
        <v>159</v>
      </c>
      <c r="D42" s="34"/>
      <c r="E42" s="18"/>
      <c r="F42" s="18"/>
      <c r="G42" s="18"/>
      <c r="H42" s="18">
        <v>524.75</v>
      </c>
      <c r="I42" s="19"/>
      <c r="J42" s="20">
        <f t="shared" si="0"/>
        <v>0</v>
      </c>
      <c r="K42" s="20">
        <f t="shared" si="1"/>
        <v>99122.99000000002</v>
      </c>
    </row>
    <row r="43" spans="2:11" ht="18.75" x14ac:dyDescent="0.3">
      <c r="B43" s="42">
        <v>44420</v>
      </c>
      <c r="C43" s="33" t="s">
        <v>159</v>
      </c>
      <c r="D43" s="34"/>
      <c r="E43" s="18"/>
      <c r="F43" s="18"/>
      <c r="G43" s="18"/>
      <c r="H43" s="18">
        <v>450.37</v>
      </c>
      <c r="I43" s="19"/>
      <c r="J43" s="20">
        <f t="shared" si="0"/>
        <v>0</v>
      </c>
      <c r="K43" s="20">
        <f t="shared" si="1"/>
        <v>98672.620000000024</v>
      </c>
    </row>
    <row r="44" spans="2:11" ht="18.75" x14ac:dyDescent="0.3">
      <c r="B44" s="42">
        <v>44421</v>
      </c>
      <c r="C44" s="33" t="s">
        <v>621</v>
      </c>
      <c r="D44" s="34"/>
      <c r="E44" s="18"/>
      <c r="F44" s="18"/>
      <c r="G44" s="18"/>
      <c r="H44" s="18">
        <v>42</v>
      </c>
      <c r="I44" s="19"/>
      <c r="J44" s="20">
        <f t="shared" si="0"/>
        <v>0</v>
      </c>
      <c r="K44" s="20">
        <f t="shared" si="1"/>
        <v>98630.620000000024</v>
      </c>
    </row>
    <row r="45" spans="2:11" ht="18.75" x14ac:dyDescent="0.3">
      <c r="B45" s="42">
        <v>44423</v>
      </c>
      <c r="C45" s="33" t="s">
        <v>625</v>
      </c>
      <c r="D45" s="34"/>
      <c r="E45" s="18"/>
      <c r="F45" s="18"/>
      <c r="G45" s="18"/>
      <c r="H45" s="18">
        <v>65.900000000000006</v>
      </c>
      <c r="I45" s="19"/>
      <c r="J45" s="20">
        <f t="shared" ref="J45:J51" si="2">+J44+E45-G45</f>
        <v>0</v>
      </c>
      <c r="K45" s="20">
        <f t="shared" ref="K45:K51" si="3">+K44+D45-H45</f>
        <v>98564.72000000003</v>
      </c>
    </row>
    <row r="46" spans="2:11" ht="18.75" x14ac:dyDescent="0.3">
      <c r="B46" s="42">
        <v>44423</v>
      </c>
      <c r="C46" s="33" t="s">
        <v>626</v>
      </c>
      <c r="D46" s="34"/>
      <c r="E46" s="18"/>
      <c r="F46" s="18"/>
      <c r="G46" s="18"/>
      <c r="H46" s="18">
        <v>84</v>
      </c>
      <c r="I46" s="19"/>
      <c r="J46" s="20">
        <f t="shared" si="2"/>
        <v>0</v>
      </c>
      <c r="K46" s="20">
        <f t="shared" si="3"/>
        <v>98480.72000000003</v>
      </c>
    </row>
    <row r="47" spans="2:11" ht="18.75" x14ac:dyDescent="0.3">
      <c r="B47" s="42">
        <v>44423</v>
      </c>
      <c r="C47" s="33" t="s">
        <v>627</v>
      </c>
      <c r="D47" s="34"/>
      <c r="E47" s="18"/>
      <c r="F47" s="18"/>
      <c r="G47" s="18"/>
      <c r="H47" s="18">
        <v>3850</v>
      </c>
      <c r="I47" s="19"/>
      <c r="J47" s="20">
        <f t="shared" si="2"/>
        <v>0</v>
      </c>
      <c r="K47" s="20">
        <f t="shared" si="3"/>
        <v>94630.72000000003</v>
      </c>
    </row>
    <row r="48" spans="2:11" ht="18.75" x14ac:dyDescent="0.3">
      <c r="B48" s="42">
        <v>44423</v>
      </c>
      <c r="C48" s="33" t="s">
        <v>628</v>
      </c>
      <c r="D48" s="34"/>
      <c r="E48" s="18"/>
      <c r="F48" s="18"/>
      <c r="G48" s="18"/>
      <c r="H48" s="18">
        <v>2350</v>
      </c>
      <c r="I48" s="19"/>
      <c r="J48" s="20">
        <f t="shared" si="2"/>
        <v>0</v>
      </c>
      <c r="K48" s="20">
        <f t="shared" si="3"/>
        <v>92280.72000000003</v>
      </c>
    </row>
    <row r="49" spans="2:13" ht="18.75" x14ac:dyDescent="0.3">
      <c r="B49" s="42">
        <v>44423</v>
      </c>
      <c r="C49" s="33" t="s">
        <v>90</v>
      </c>
      <c r="D49" s="34">
        <v>25750</v>
      </c>
      <c r="E49" s="18"/>
      <c r="F49" s="18"/>
      <c r="G49" s="18"/>
      <c r="H49" s="18"/>
      <c r="I49" s="19"/>
      <c r="J49" s="20">
        <f t="shared" si="2"/>
        <v>0</v>
      </c>
      <c r="K49" s="20">
        <f t="shared" si="3"/>
        <v>118030.72000000003</v>
      </c>
    </row>
    <row r="50" spans="2:13" ht="18.75" x14ac:dyDescent="0.3">
      <c r="B50" s="42">
        <v>44423</v>
      </c>
      <c r="C50" s="33" t="s">
        <v>170</v>
      </c>
      <c r="D50" s="34"/>
      <c r="E50" s="18"/>
      <c r="F50" s="18"/>
      <c r="G50" s="18"/>
      <c r="H50" s="18">
        <v>250</v>
      </c>
      <c r="I50" s="19"/>
      <c r="J50" s="20">
        <f t="shared" si="2"/>
        <v>0</v>
      </c>
      <c r="K50" s="20">
        <f t="shared" si="3"/>
        <v>117780.72000000003</v>
      </c>
    </row>
    <row r="51" spans="2:13" ht="19.5" thickBot="1" x14ac:dyDescent="0.35">
      <c r="B51" s="42">
        <v>44423</v>
      </c>
      <c r="C51" s="33" t="s">
        <v>171</v>
      </c>
      <c r="D51" s="34"/>
      <c r="E51" s="18"/>
      <c r="F51" s="18"/>
      <c r="G51" s="18"/>
      <c r="H51" s="18">
        <v>300</v>
      </c>
      <c r="I51" s="19"/>
      <c r="J51" s="20">
        <f t="shared" si="2"/>
        <v>0</v>
      </c>
      <c r="K51" s="20">
        <f t="shared" si="3"/>
        <v>117480.72000000003</v>
      </c>
    </row>
    <row r="52" spans="2:13" ht="19.5" thickBot="1" x14ac:dyDescent="0.35">
      <c r="B52" s="25"/>
      <c r="C52" s="26" t="s">
        <v>0</v>
      </c>
      <c r="D52" s="27">
        <f>SUM(D4:D51)</f>
        <v>82000</v>
      </c>
      <c r="E52" s="28">
        <f>SUM(E4:E51)</f>
        <v>0</v>
      </c>
      <c r="F52" s="29">
        <f>SUM(D52:E52)</f>
        <v>82000</v>
      </c>
      <c r="G52" s="30">
        <f>SUM(G4:G51)</f>
        <v>0</v>
      </c>
      <c r="H52" s="27">
        <f>SUM(H4:H51)</f>
        <v>34497.31</v>
      </c>
      <c r="I52" s="29">
        <f>SUM(G52:H52)</f>
        <v>34497.31</v>
      </c>
      <c r="J52" s="20"/>
      <c r="K52" s="20"/>
    </row>
    <row r="53" spans="2:13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3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3" ht="19.5" thickBot="1" x14ac:dyDescent="0.35">
      <c r="B55" s="25"/>
      <c r="C55" s="26"/>
      <c r="D55" s="27">
        <v>82000</v>
      </c>
      <c r="E55" s="28">
        <v>0</v>
      </c>
      <c r="F55" s="29">
        <f>SUM(D55:E55)</f>
        <v>82000</v>
      </c>
      <c r="G55" s="30">
        <v>0</v>
      </c>
      <c r="H55" s="27">
        <v>34497.31</v>
      </c>
      <c r="I55" s="29">
        <f>SUM(G55:H55)</f>
        <v>34497.31</v>
      </c>
      <c r="J55" s="53">
        <v>0</v>
      </c>
      <c r="K55" s="53"/>
    </row>
    <row r="56" spans="2:13" ht="18.75" x14ac:dyDescent="0.3">
      <c r="B56" s="42">
        <v>44423</v>
      </c>
      <c r="C56" s="33" t="s">
        <v>172</v>
      </c>
      <c r="D56" s="34"/>
      <c r="E56" s="34"/>
      <c r="F56" s="34"/>
      <c r="G56" s="34"/>
      <c r="H56" s="18">
        <v>650</v>
      </c>
      <c r="I56" s="19"/>
      <c r="J56" s="20">
        <f>+J51+E56-G56</f>
        <v>0</v>
      </c>
      <c r="K56" s="20">
        <f>+K51+D56-H56</f>
        <v>116830.72000000003</v>
      </c>
    </row>
    <row r="57" spans="2:13" ht="18.75" x14ac:dyDescent="0.3">
      <c r="B57" s="47">
        <v>44423</v>
      </c>
      <c r="C57" s="21" t="s">
        <v>231</v>
      </c>
      <c r="D57" s="34"/>
      <c r="E57" s="34"/>
      <c r="F57" s="34"/>
      <c r="G57" s="34"/>
      <c r="H57" s="18">
        <v>3400</v>
      </c>
      <c r="I57" s="19"/>
      <c r="J57" s="20">
        <f>+J56+E57-G57</f>
        <v>0</v>
      </c>
      <c r="K57" s="20">
        <f>+K56+D57-H57</f>
        <v>113430.72000000003</v>
      </c>
    </row>
    <row r="58" spans="2:13" ht="18.75" x14ac:dyDescent="0.3">
      <c r="B58" s="22">
        <v>44423</v>
      </c>
      <c r="C58" s="43" t="s">
        <v>448</v>
      </c>
      <c r="D58" s="18"/>
      <c r="E58" s="18"/>
      <c r="F58" s="18"/>
      <c r="G58" s="18"/>
      <c r="H58" s="18">
        <v>6000</v>
      </c>
      <c r="I58" s="19"/>
      <c r="J58" s="20">
        <f t="shared" ref="J58:J96" si="4">+J57+E58-G58</f>
        <v>0</v>
      </c>
      <c r="K58" s="20">
        <f t="shared" ref="K58:K96" si="5">+K57+D58-H58</f>
        <v>107430.72000000003</v>
      </c>
    </row>
    <row r="59" spans="2:13" ht="18.75" x14ac:dyDescent="0.3">
      <c r="B59" s="42">
        <v>44423</v>
      </c>
      <c r="C59" s="43" t="s">
        <v>83</v>
      </c>
      <c r="D59" s="18"/>
      <c r="E59" s="18"/>
      <c r="F59" s="18"/>
      <c r="G59" s="18"/>
      <c r="H59" s="18">
        <v>33800</v>
      </c>
      <c r="I59" s="19"/>
      <c r="J59" s="20">
        <f t="shared" si="4"/>
        <v>0</v>
      </c>
      <c r="K59" s="20">
        <f t="shared" si="5"/>
        <v>73630.72000000003</v>
      </c>
    </row>
    <row r="60" spans="2:13" ht="18.75" x14ac:dyDescent="0.3">
      <c r="B60" s="44">
        <v>44423</v>
      </c>
      <c r="C60" s="43" t="s">
        <v>84</v>
      </c>
      <c r="D60" s="34"/>
      <c r="E60" s="18"/>
      <c r="F60" s="18"/>
      <c r="G60" s="18"/>
      <c r="H60" s="18">
        <v>5650</v>
      </c>
      <c r="I60" s="19"/>
      <c r="J60" s="20">
        <f t="shared" si="4"/>
        <v>0</v>
      </c>
      <c r="K60" s="20">
        <f t="shared" si="5"/>
        <v>67980.72000000003</v>
      </c>
    </row>
    <row r="61" spans="2:13" ht="18.75" x14ac:dyDescent="0.3">
      <c r="B61" s="47">
        <v>44424</v>
      </c>
      <c r="C61" s="33" t="s">
        <v>629</v>
      </c>
      <c r="D61" s="34"/>
      <c r="E61" s="34"/>
      <c r="F61" s="34"/>
      <c r="G61" s="34"/>
      <c r="H61" s="18">
        <v>300</v>
      </c>
      <c r="I61" s="19"/>
      <c r="J61" s="20">
        <f t="shared" si="4"/>
        <v>0</v>
      </c>
      <c r="K61" s="20">
        <f t="shared" si="5"/>
        <v>67680.72000000003</v>
      </c>
    </row>
    <row r="62" spans="2:13" ht="18.75" x14ac:dyDescent="0.3">
      <c r="B62" s="47">
        <v>44424</v>
      </c>
      <c r="C62" s="33" t="s">
        <v>524</v>
      </c>
      <c r="D62" s="34"/>
      <c r="E62" s="34"/>
      <c r="F62" s="34"/>
      <c r="G62" s="34"/>
      <c r="H62" s="18">
        <v>400</v>
      </c>
      <c r="I62" s="19"/>
      <c r="J62" s="20">
        <f t="shared" si="4"/>
        <v>0</v>
      </c>
      <c r="K62" s="20">
        <f t="shared" si="5"/>
        <v>67280.72000000003</v>
      </c>
    </row>
    <row r="63" spans="2:13" ht="18.75" x14ac:dyDescent="0.3">
      <c r="B63" s="42">
        <v>44424</v>
      </c>
      <c r="C63" s="33" t="s">
        <v>630</v>
      </c>
      <c r="D63" s="34"/>
      <c r="E63" s="18"/>
      <c r="F63" s="18"/>
      <c r="G63" s="18"/>
      <c r="H63" s="18">
        <v>150</v>
      </c>
      <c r="I63" s="19"/>
      <c r="J63" s="20">
        <f t="shared" si="4"/>
        <v>0</v>
      </c>
      <c r="K63" s="20">
        <f t="shared" si="5"/>
        <v>67130.72000000003</v>
      </c>
      <c r="M63">
        <v>250</v>
      </c>
    </row>
    <row r="64" spans="2:13" ht="18.75" x14ac:dyDescent="0.3">
      <c r="B64" s="42">
        <v>44424</v>
      </c>
      <c r="C64" s="33" t="s">
        <v>631</v>
      </c>
      <c r="D64" s="34"/>
      <c r="E64" s="18"/>
      <c r="F64" s="18"/>
      <c r="G64" s="18"/>
      <c r="H64" s="18">
        <v>100</v>
      </c>
      <c r="I64" s="19"/>
      <c r="J64" s="20">
        <f t="shared" si="4"/>
        <v>0</v>
      </c>
      <c r="K64" s="20">
        <f t="shared" si="5"/>
        <v>67030.72000000003</v>
      </c>
      <c r="M64">
        <v>300</v>
      </c>
    </row>
    <row r="65" spans="2:13" ht="18.75" x14ac:dyDescent="0.3">
      <c r="B65" s="42">
        <v>44424</v>
      </c>
      <c r="C65" s="33" t="s">
        <v>632</v>
      </c>
      <c r="D65" s="34"/>
      <c r="E65" s="34"/>
      <c r="F65" s="34"/>
      <c r="G65" s="34"/>
      <c r="H65" s="18">
        <v>198.9</v>
      </c>
      <c r="I65" s="19"/>
      <c r="J65" s="20">
        <f t="shared" si="4"/>
        <v>0</v>
      </c>
      <c r="K65" s="20">
        <f t="shared" si="5"/>
        <v>66831.820000000036</v>
      </c>
      <c r="M65">
        <v>650</v>
      </c>
    </row>
    <row r="66" spans="2:13" ht="18.75" x14ac:dyDescent="0.3">
      <c r="B66" s="47">
        <v>44425</v>
      </c>
      <c r="C66" s="21" t="s">
        <v>300</v>
      </c>
      <c r="D66" s="34"/>
      <c r="E66" s="34"/>
      <c r="F66" s="34"/>
      <c r="G66" s="34"/>
      <c r="H66" s="18">
        <v>59.4</v>
      </c>
      <c r="I66" s="19"/>
      <c r="J66" s="20">
        <f t="shared" si="4"/>
        <v>0</v>
      </c>
      <c r="K66" s="20">
        <f t="shared" si="5"/>
        <v>66772.420000000042</v>
      </c>
    </row>
    <row r="67" spans="2:13" ht="18.75" x14ac:dyDescent="0.3">
      <c r="B67" s="22">
        <v>44427</v>
      </c>
      <c r="C67" s="43" t="s">
        <v>633</v>
      </c>
      <c r="D67" s="18"/>
      <c r="E67" s="18"/>
      <c r="F67" s="18"/>
      <c r="G67" s="18"/>
      <c r="H67" s="18">
        <v>100</v>
      </c>
      <c r="I67" s="19"/>
      <c r="J67" s="20">
        <f t="shared" si="4"/>
        <v>0</v>
      </c>
      <c r="K67" s="20">
        <f t="shared" si="5"/>
        <v>66672.420000000042</v>
      </c>
    </row>
    <row r="68" spans="2:13" ht="18.75" x14ac:dyDescent="0.3">
      <c r="B68" s="42">
        <v>44428</v>
      </c>
      <c r="C68" s="43" t="s">
        <v>634</v>
      </c>
      <c r="D68" s="18"/>
      <c r="E68" s="18"/>
      <c r="F68" s="18"/>
      <c r="G68" s="18"/>
      <c r="H68" s="18">
        <v>42</v>
      </c>
      <c r="I68" s="19"/>
      <c r="J68" s="20">
        <f t="shared" si="4"/>
        <v>0</v>
      </c>
      <c r="K68" s="20">
        <f t="shared" si="5"/>
        <v>66630.420000000042</v>
      </c>
    </row>
    <row r="69" spans="2:13" ht="18.75" x14ac:dyDescent="0.3">
      <c r="B69" s="44">
        <v>44428</v>
      </c>
      <c r="C69" s="43" t="s">
        <v>635</v>
      </c>
      <c r="D69" s="34"/>
      <c r="E69" s="18"/>
      <c r="F69" s="18"/>
      <c r="G69" s="18"/>
      <c r="H69" s="18">
        <v>3500</v>
      </c>
      <c r="I69" s="19"/>
      <c r="J69" s="20">
        <f t="shared" si="4"/>
        <v>0</v>
      </c>
      <c r="K69" s="20">
        <f t="shared" si="5"/>
        <v>63130.420000000042</v>
      </c>
    </row>
    <row r="70" spans="2:13" ht="18.75" x14ac:dyDescent="0.3">
      <c r="B70" s="42">
        <v>44428</v>
      </c>
      <c r="C70" s="43" t="s">
        <v>608</v>
      </c>
      <c r="D70" s="18"/>
      <c r="E70" s="18"/>
      <c r="F70" s="18"/>
      <c r="G70" s="18"/>
      <c r="H70" s="18">
        <v>250</v>
      </c>
      <c r="I70" s="19"/>
      <c r="J70" s="20">
        <f t="shared" si="4"/>
        <v>0</v>
      </c>
      <c r="K70" s="20">
        <f t="shared" si="5"/>
        <v>62880.420000000042</v>
      </c>
    </row>
    <row r="71" spans="2:13" ht="18.75" x14ac:dyDescent="0.3">
      <c r="B71" s="44">
        <v>44428</v>
      </c>
      <c r="C71" s="43" t="s">
        <v>636</v>
      </c>
      <c r="D71" s="34"/>
      <c r="E71" s="18"/>
      <c r="F71" s="18"/>
      <c r="G71" s="18"/>
      <c r="H71" s="18">
        <v>3000</v>
      </c>
      <c r="I71" s="19"/>
      <c r="J71" s="20">
        <f t="shared" si="4"/>
        <v>0</v>
      </c>
      <c r="K71" s="20">
        <f t="shared" si="5"/>
        <v>59880.420000000042</v>
      </c>
      <c r="M71">
        <v>5000</v>
      </c>
    </row>
    <row r="72" spans="2:13" ht="18.75" x14ac:dyDescent="0.3">
      <c r="B72" s="42">
        <v>44429</v>
      </c>
      <c r="C72" s="43" t="s">
        <v>637</v>
      </c>
      <c r="D72" s="18"/>
      <c r="E72" s="18"/>
      <c r="F72" s="18"/>
      <c r="G72" s="18"/>
      <c r="H72" s="18">
        <v>258</v>
      </c>
      <c r="I72" s="19"/>
      <c r="J72" s="20">
        <f t="shared" si="4"/>
        <v>0</v>
      </c>
      <c r="K72" s="20">
        <f t="shared" si="5"/>
        <v>59622.420000000042</v>
      </c>
    </row>
    <row r="73" spans="2:13" ht="18.75" x14ac:dyDescent="0.3">
      <c r="B73" s="42">
        <v>44430</v>
      </c>
      <c r="C73" s="43" t="s">
        <v>303</v>
      </c>
      <c r="D73" s="18"/>
      <c r="E73" s="18"/>
      <c r="F73" s="18"/>
      <c r="G73" s="18"/>
      <c r="H73" s="18">
        <v>100</v>
      </c>
      <c r="I73" s="19"/>
      <c r="J73" s="20">
        <f t="shared" si="4"/>
        <v>0</v>
      </c>
      <c r="K73" s="20">
        <f t="shared" si="5"/>
        <v>59522.420000000042</v>
      </c>
    </row>
    <row r="74" spans="2:13" ht="18.75" x14ac:dyDescent="0.3">
      <c r="B74" s="42">
        <v>44430</v>
      </c>
      <c r="C74" s="43" t="s">
        <v>638</v>
      </c>
      <c r="D74" s="18"/>
      <c r="E74" s="18"/>
      <c r="F74" s="18"/>
      <c r="G74" s="18"/>
      <c r="H74" s="18">
        <v>200</v>
      </c>
      <c r="I74" s="19"/>
      <c r="J74" s="20">
        <f t="shared" si="4"/>
        <v>0</v>
      </c>
      <c r="K74" s="20">
        <f t="shared" si="5"/>
        <v>59322.420000000042</v>
      </c>
    </row>
    <row r="75" spans="2:13" ht="18.75" x14ac:dyDescent="0.3">
      <c r="B75" s="42">
        <v>44430</v>
      </c>
      <c r="C75" s="43" t="s">
        <v>639</v>
      </c>
      <c r="D75" s="18"/>
      <c r="E75" s="18"/>
      <c r="F75" s="18"/>
      <c r="G75" s="18"/>
      <c r="H75" s="18">
        <v>150</v>
      </c>
      <c r="I75" s="19"/>
      <c r="J75" s="20">
        <f t="shared" si="4"/>
        <v>0</v>
      </c>
      <c r="K75" s="20">
        <f t="shared" si="5"/>
        <v>59172.420000000042</v>
      </c>
    </row>
    <row r="76" spans="2:13" ht="18.75" x14ac:dyDescent="0.3">
      <c r="B76" s="42">
        <v>44430</v>
      </c>
      <c r="C76" s="33" t="s">
        <v>640</v>
      </c>
      <c r="D76" s="18"/>
      <c r="E76" s="18"/>
      <c r="F76" s="18"/>
      <c r="G76" s="18"/>
      <c r="H76" s="18">
        <v>300</v>
      </c>
      <c r="I76" s="19"/>
      <c r="J76" s="20">
        <f t="shared" si="4"/>
        <v>0</v>
      </c>
      <c r="K76" s="20">
        <f t="shared" si="5"/>
        <v>58872.420000000042</v>
      </c>
    </row>
    <row r="77" spans="2:13" ht="18.75" x14ac:dyDescent="0.3">
      <c r="B77" s="46">
        <v>44430</v>
      </c>
      <c r="C77" s="43" t="s">
        <v>309</v>
      </c>
      <c r="D77" s="18">
        <v>27275</v>
      </c>
      <c r="E77" s="18"/>
      <c r="F77" s="18"/>
      <c r="G77" s="18"/>
      <c r="H77" s="18"/>
      <c r="I77" s="19"/>
      <c r="J77" s="20">
        <f t="shared" si="4"/>
        <v>0</v>
      </c>
      <c r="K77" s="20">
        <f t="shared" si="5"/>
        <v>86147.420000000042</v>
      </c>
    </row>
    <row r="78" spans="2:13" ht="18.75" x14ac:dyDescent="0.3">
      <c r="B78" s="46">
        <v>44431</v>
      </c>
      <c r="C78" s="43" t="s">
        <v>641</v>
      </c>
      <c r="D78" s="18"/>
      <c r="E78" s="18"/>
      <c r="F78" s="18"/>
      <c r="G78" s="18"/>
      <c r="H78" s="18">
        <v>126</v>
      </c>
      <c r="I78" s="19"/>
      <c r="J78" s="20">
        <f t="shared" si="4"/>
        <v>0</v>
      </c>
      <c r="K78" s="20">
        <f t="shared" si="5"/>
        <v>86021.420000000042</v>
      </c>
      <c r="L78" s="1"/>
    </row>
    <row r="79" spans="2:13" ht="18.75" x14ac:dyDescent="0.3">
      <c r="B79" s="22">
        <v>44431</v>
      </c>
      <c r="C79" s="33" t="s">
        <v>103</v>
      </c>
      <c r="D79" s="18"/>
      <c r="E79" s="18"/>
      <c r="F79" s="18"/>
      <c r="G79" s="18"/>
      <c r="H79" s="18">
        <v>200</v>
      </c>
      <c r="I79" s="19"/>
      <c r="J79" s="20">
        <f t="shared" si="4"/>
        <v>0</v>
      </c>
      <c r="K79" s="20">
        <f t="shared" si="5"/>
        <v>85821.420000000042</v>
      </c>
      <c r="L79" s="1"/>
    </row>
    <row r="80" spans="2:13" ht="18.75" x14ac:dyDescent="0.3">
      <c r="B80" s="22">
        <v>44432</v>
      </c>
      <c r="C80" s="51" t="s">
        <v>642</v>
      </c>
      <c r="D80" s="34"/>
      <c r="E80" s="18"/>
      <c r="F80" s="18"/>
      <c r="G80" s="18"/>
      <c r="H80" s="18">
        <v>372.7</v>
      </c>
      <c r="I80" s="19"/>
      <c r="J80" s="20">
        <f t="shared" si="4"/>
        <v>0</v>
      </c>
      <c r="K80" s="20">
        <f t="shared" si="5"/>
        <v>85448.720000000045</v>
      </c>
      <c r="L80" s="1"/>
    </row>
    <row r="81" spans="2:12" ht="18.75" x14ac:dyDescent="0.3">
      <c r="B81" s="44">
        <v>44432</v>
      </c>
      <c r="C81" s="51" t="s">
        <v>643</v>
      </c>
      <c r="D81" s="34"/>
      <c r="E81" s="18"/>
      <c r="F81" s="18"/>
      <c r="G81" s="18"/>
      <c r="H81" s="18">
        <v>215.01</v>
      </c>
      <c r="I81" s="19"/>
      <c r="J81" s="20">
        <f t="shared" si="4"/>
        <v>0</v>
      </c>
      <c r="K81" s="20">
        <f t="shared" si="5"/>
        <v>85233.71000000005</v>
      </c>
    </row>
    <row r="82" spans="2:12" ht="18.75" x14ac:dyDescent="0.3">
      <c r="B82" s="47">
        <v>44435</v>
      </c>
      <c r="C82" s="43" t="s">
        <v>608</v>
      </c>
      <c r="D82" s="34"/>
      <c r="E82" s="18"/>
      <c r="F82" s="18"/>
      <c r="G82" s="18"/>
      <c r="H82" s="18">
        <v>198.9</v>
      </c>
      <c r="I82" s="19"/>
      <c r="J82" s="20">
        <f t="shared" si="4"/>
        <v>0</v>
      </c>
      <c r="K82" s="20">
        <f t="shared" si="5"/>
        <v>85034.810000000056</v>
      </c>
    </row>
    <row r="83" spans="2:12" ht="18.75" x14ac:dyDescent="0.3">
      <c r="B83" s="47">
        <v>44435</v>
      </c>
      <c r="C83" s="43" t="s">
        <v>624</v>
      </c>
      <c r="D83" s="34"/>
      <c r="E83" s="18"/>
      <c r="F83" s="18"/>
      <c r="G83" s="18"/>
      <c r="H83" s="18">
        <v>180</v>
      </c>
      <c r="I83" s="19"/>
      <c r="J83" s="20">
        <f t="shared" si="4"/>
        <v>0</v>
      </c>
      <c r="K83" s="20">
        <f t="shared" si="5"/>
        <v>84854.810000000056</v>
      </c>
    </row>
    <row r="84" spans="2:12" ht="18.75" x14ac:dyDescent="0.3">
      <c r="B84" s="47">
        <v>44435</v>
      </c>
      <c r="C84" s="21" t="s">
        <v>391</v>
      </c>
      <c r="D84" s="34"/>
      <c r="E84" s="18"/>
      <c r="F84" s="18"/>
      <c r="G84" s="18"/>
      <c r="H84" s="18">
        <v>84</v>
      </c>
      <c r="I84" s="19"/>
      <c r="J84" s="20">
        <f t="shared" si="4"/>
        <v>0</v>
      </c>
      <c r="K84" s="20">
        <f t="shared" si="5"/>
        <v>84770.810000000056</v>
      </c>
    </row>
    <row r="85" spans="2:12" ht="18.75" x14ac:dyDescent="0.3">
      <c r="B85" s="47">
        <v>44437</v>
      </c>
      <c r="C85" s="43" t="s">
        <v>644</v>
      </c>
      <c r="D85" s="34"/>
      <c r="E85" s="18"/>
      <c r="F85" s="18"/>
      <c r="G85" s="18"/>
      <c r="H85" s="18">
        <v>100</v>
      </c>
      <c r="I85" s="19"/>
      <c r="J85" s="20">
        <f t="shared" si="4"/>
        <v>0</v>
      </c>
      <c r="K85" s="20">
        <f t="shared" si="5"/>
        <v>84670.810000000056</v>
      </c>
    </row>
    <row r="86" spans="2:12" ht="18.75" x14ac:dyDescent="0.3">
      <c r="B86" s="47">
        <v>44437</v>
      </c>
      <c r="C86" s="43" t="s">
        <v>645</v>
      </c>
      <c r="D86" s="34"/>
      <c r="E86" s="18"/>
      <c r="F86" s="18"/>
      <c r="G86" s="18"/>
      <c r="H86" s="18">
        <v>200</v>
      </c>
      <c r="I86" s="19"/>
      <c r="J86" s="20">
        <f t="shared" si="4"/>
        <v>0</v>
      </c>
      <c r="K86" s="20">
        <f t="shared" si="5"/>
        <v>84470.810000000056</v>
      </c>
    </row>
    <row r="87" spans="2:12" ht="18.75" x14ac:dyDescent="0.3">
      <c r="B87" s="47">
        <v>44437</v>
      </c>
      <c r="C87" s="43" t="s">
        <v>646</v>
      </c>
      <c r="D87" s="34"/>
      <c r="E87" s="18"/>
      <c r="F87" s="18"/>
      <c r="G87" s="18"/>
      <c r="H87" s="18">
        <v>150</v>
      </c>
      <c r="I87" s="19"/>
      <c r="J87" s="20">
        <f t="shared" si="4"/>
        <v>0</v>
      </c>
      <c r="K87" s="20">
        <f t="shared" si="5"/>
        <v>84320.810000000056</v>
      </c>
    </row>
    <row r="88" spans="2:12" ht="18.75" x14ac:dyDescent="0.3">
      <c r="B88" s="47">
        <v>44437</v>
      </c>
      <c r="C88" s="43" t="s">
        <v>651</v>
      </c>
      <c r="D88" s="34">
        <v>18450</v>
      </c>
      <c r="E88" s="18"/>
      <c r="F88" s="18"/>
      <c r="G88" s="18"/>
      <c r="H88" s="18"/>
      <c r="I88" s="19"/>
      <c r="J88" s="20">
        <f t="shared" si="4"/>
        <v>0</v>
      </c>
      <c r="K88" s="20">
        <f t="shared" si="5"/>
        <v>102770.81000000006</v>
      </c>
    </row>
    <row r="89" spans="2:12" ht="18.75" x14ac:dyDescent="0.3">
      <c r="B89" s="47">
        <v>44438</v>
      </c>
      <c r="C89" s="43" t="s">
        <v>647</v>
      </c>
      <c r="D89" s="34"/>
      <c r="E89" s="18"/>
      <c r="F89" s="18"/>
      <c r="G89" s="18"/>
      <c r="H89" s="18">
        <v>1550</v>
      </c>
      <c r="I89" s="19"/>
      <c r="J89" s="20">
        <f t="shared" si="4"/>
        <v>0</v>
      </c>
      <c r="K89" s="20">
        <f t="shared" si="5"/>
        <v>101220.81000000006</v>
      </c>
    </row>
    <row r="90" spans="2:12" ht="18.75" x14ac:dyDescent="0.3">
      <c r="B90" s="47">
        <v>44438</v>
      </c>
      <c r="C90" s="43" t="s">
        <v>648</v>
      </c>
      <c r="D90" s="34"/>
      <c r="E90" s="18"/>
      <c r="F90" s="18"/>
      <c r="G90" s="18"/>
      <c r="H90" s="18">
        <v>3000</v>
      </c>
      <c r="I90" s="19"/>
      <c r="J90" s="20">
        <f t="shared" si="4"/>
        <v>0</v>
      </c>
      <c r="K90" s="20">
        <f t="shared" si="5"/>
        <v>98220.810000000056</v>
      </c>
    </row>
    <row r="91" spans="2:12" ht="18.75" x14ac:dyDescent="0.3">
      <c r="B91" s="47">
        <v>44438</v>
      </c>
      <c r="C91" s="43" t="s">
        <v>649</v>
      </c>
      <c r="D91" s="34"/>
      <c r="E91" s="18"/>
      <c r="F91" s="18"/>
      <c r="G91" s="18"/>
      <c r="H91" s="18">
        <v>1000</v>
      </c>
      <c r="I91" s="19"/>
      <c r="J91" s="20">
        <f t="shared" si="4"/>
        <v>0</v>
      </c>
      <c r="K91" s="20">
        <f t="shared" si="5"/>
        <v>97220.810000000056</v>
      </c>
    </row>
    <row r="92" spans="2:12" ht="18.75" x14ac:dyDescent="0.3">
      <c r="B92" s="48">
        <v>44438</v>
      </c>
      <c r="C92" s="21" t="s">
        <v>650</v>
      </c>
      <c r="D92" s="34"/>
      <c r="E92" s="18"/>
      <c r="F92" s="18"/>
      <c r="G92" s="18"/>
      <c r="H92" s="18">
        <v>1000</v>
      </c>
      <c r="I92" s="19"/>
      <c r="J92" s="20">
        <f t="shared" si="4"/>
        <v>0</v>
      </c>
      <c r="K92" s="20">
        <f t="shared" si="5"/>
        <v>96220.810000000056</v>
      </c>
    </row>
    <row r="93" spans="2:12" ht="18.75" x14ac:dyDescent="0.3">
      <c r="B93" s="49">
        <v>44439</v>
      </c>
      <c r="C93" s="21" t="s">
        <v>184</v>
      </c>
      <c r="D93" s="34"/>
      <c r="E93" s="34"/>
      <c r="F93" s="34"/>
      <c r="G93" s="18"/>
      <c r="H93" s="18">
        <v>250</v>
      </c>
      <c r="I93" s="19"/>
      <c r="J93" s="20">
        <f t="shared" si="4"/>
        <v>0</v>
      </c>
      <c r="K93" s="20">
        <f t="shared" si="5"/>
        <v>95970.810000000056</v>
      </c>
    </row>
    <row r="94" spans="2:12" ht="18.75" x14ac:dyDescent="0.3">
      <c r="B94" s="49">
        <v>44439</v>
      </c>
      <c r="C94" s="21" t="s">
        <v>185</v>
      </c>
      <c r="D94" s="34"/>
      <c r="E94" s="34"/>
      <c r="F94" s="34"/>
      <c r="G94" s="18"/>
      <c r="H94" s="18">
        <v>300</v>
      </c>
      <c r="I94" s="19"/>
      <c r="J94" s="20">
        <f t="shared" si="4"/>
        <v>0</v>
      </c>
      <c r="K94" s="20">
        <f t="shared" si="5"/>
        <v>95670.810000000056</v>
      </c>
      <c r="L94" s="1"/>
    </row>
    <row r="95" spans="2:12" ht="18.75" x14ac:dyDescent="0.3">
      <c r="B95" s="49">
        <v>44439</v>
      </c>
      <c r="C95" s="21" t="s">
        <v>186</v>
      </c>
      <c r="D95" s="34"/>
      <c r="E95" s="34"/>
      <c r="F95" s="34"/>
      <c r="G95" s="18"/>
      <c r="H95" s="18">
        <v>650</v>
      </c>
      <c r="I95" s="19"/>
      <c r="J95" s="20">
        <f t="shared" si="4"/>
        <v>0</v>
      </c>
      <c r="K95" s="20">
        <f t="shared" si="5"/>
        <v>95020.810000000056</v>
      </c>
    </row>
    <row r="96" spans="2:12" ht="18.75" x14ac:dyDescent="0.3">
      <c r="B96" s="49">
        <v>44439</v>
      </c>
      <c r="C96" s="21" t="s">
        <v>80</v>
      </c>
      <c r="D96" s="34"/>
      <c r="E96" s="34"/>
      <c r="F96" s="34"/>
      <c r="G96" s="18"/>
      <c r="H96" s="18">
        <v>3400</v>
      </c>
      <c r="I96" s="19"/>
      <c r="J96" s="20">
        <f t="shared" si="4"/>
        <v>0</v>
      </c>
      <c r="K96" s="20">
        <f t="shared" si="5"/>
        <v>91620.810000000056</v>
      </c>
    </row>
    <row r="97" spans="2:12" ht="18.75" x14ac:dyDescent="0.3">
      <c r="B97" s="49">
        <v>44439</v>
      </c>
      <c r="C97" s="24" t="s">
        <v>777</v>
      </c>
      <c r="D97" s="34">
        <v>9000</v>
      </c>
      <c r="E97" s="34"/>
      <c r="F97" s="34"/>
      <c r="G97" s="18"/>
      <c r="H97" s="18"/>
      <c r="I97" s="19"/>
      <c r="J97" s="20">
        <f t="shared" ref="J97:J100" si="6">+J96+E97-G97</f>
        <v>0</v>
      </c>
      <c r="K97" s="20">
        <f t="shared" ref="K97:K100" si="7">+K96+D97-H97</f>
        <v>100620.81000000006</v>
      </c>
    </row>
    <row r="98" spans="2:12" ht="18.75" x14ac:dyDescent="0.3">
      <c r="B98" s="49">
        <v>44439</v>
      </c>
      <c r="C98" s="24" t="s">
        <v>88</v>
      </c>
      <c r="D98" s="34"/>
      <c r="E98" s="18"/>
      <c r="F98" s="18"/>
      <c r="G98" s="18"/>
      <c r="H98" s="18">
        <v>9000</v>
      </c>
      <c r="I98" s="19"/>
      <c r="J98" s="20">
        <f t="shared" si="6"/>
        <v>0</v>
      </c>
      <c r="K98" s="20">
        <f t="shared" si="7"/>
        <v>91620.810000000056</v>
      </c>
    </row>
    <row r="99" spans="2:12" ht="18.75" x14ac:dyDescent="0.3">
      <c r="B99" s="49">
        <v>44439</v>
      </c>
      <c r="C99" s="24" t="s">
        <v>89</v>
      </c>
      <c r="D99" s="34"/>
      <c r="E99" s="18"/>
      <c r="F99" s="18"/>
      <c r="G99" s="18"/>
      <c r="H99" s="18">
        <v>33800</v>
      </c>
      <c r="I99" s="19"/>
      <c r="J99" s="20">
        <f t="shared" si="6"/>
        <v>0</v>
      </c>
      <c r="K99" s="20">
        <f t="shared" si="7"/>
        <v>57820.810000000056</v>
      </c>
    </row>
    <row r="100" spans="2:12" ht="19.5" thickBot="1" x14ac:dyDescent="0.35">
      <c r="B100" s="49">
        <v>44439</v>
      </c>
      <c r="C100" s="43" t="s">
        <v>84</v>
      </c>
      <c r="D100" s="34"/>
      <c r="E100" s="18"/>
      <c r="F100" s="18"/>
      <c r="G100" s="18"/>
      <c r="H100" s="18">
        <v>5800</v>
      </c>
      <c r="I100" s="19"/>
      <c r="J100" s="20">
        <f t="shared" si="6"/>
        <v>0</v>
      </c>
      <c r="K100" s="20">
        <f t="shared" si="7"/>
        <v>52020.810000000056</v>
      </c>
    </row>
    <row r="101" spans="2:12" ht="19.5" thickBot="1" x14ac:dyDescent="0.35">
      <c r="B101" s="25"/>
      <c r="C101" s="26" t="s">
        <v>0</v>
      </c>
      <c r="D101" s="27">
        <f>SUM(D55:D100)</f>
        <v>136725</v>
      </c>
      <c r="E101" s="28">
        <f>SUM(E55:E100)</f>
        <v>0</v>
      </c>
      <c r="F101" s="29">
        <f>SUM(D101:E101)</f>
        <v>136725</v>
      </c>
      <c r="G101" s="30">
        <f>SUM(G55:G100)</f>
        <v>0</v>
      </c>
      <c r="H101" s="27">
        <f>SUM(H55:H100)</f>
        <v>154682.21999999997</v>
      </c>
      <c r="I101" s="29">
        <f>SUM(G101:H101)</f>
        <v>154682.21999999997</v>
      </c>
      <c r="J101" s="20"/>
      <c r="K101" s="20"/>
    </row>
    <row r="102" spans="2:12" ht="19.5" thickBot="1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"/>
    </row>
    <row r="103" spans="2:12" ht="19.5" thickBot="1" x14ac:dyDescent="0.35">
      <c r="B103" s="5"/>
      <c r="C103" s="5"/>
      <c r="D103" s="5"/>
      <c r="E103" s="5"/>
      <c r="F103" s="5"/>
      <c r="G103" s="5"/>
      <c r="H103" s="5"/>
      <c r="I103" s="35" t="s">
        <v>7</v>
      </c>
      <c r="J103" s="35" t="s">
        <v>6</v>
      </c>
      <c r="K103" s="36" t="s">
        <v>0</v>
      </c>
      <c r="L103" s="1"/>
    </row>
    <row r="104" spans="2:12" ht="19.5" thickBot="1" x14ac:dyDescent="0.35">
      <c r="B104" s="5"/>
      <c r="C104" s="5"/>
      <c r="D104" s="5"/>
      <c r="E104" s="5"/>
      <c r="F104" s="5"/>
      <c r="G104" s="5"/>
      <c r="H104" s="5"/>
      <c r="I104" s="37">
        <v>0</v>
      </c>
      <c r="J104" s="37">
        <v>52020.81</v>
      </c>
      <c r="K104" s="31">
        <f>SUM(I104:J104)</f>
        <v>52020.81</v>
      </c>
      <c r="L104" s="1"/>
    </row>
    <row r="107" spans="2:12" ht="18.75" x14ac:dyDescent="0.3">
      <c r="K107" s="84">
        <v>46368.24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141"/>
  <sheetViews>
    <sheetView zoomScale="80" zoomScaleNormal="80" workbookViewId="0">
      <pane ySplit="3" topLeftCell="A115" activePane="bottomLeft" state="frozen"/>
      <selection activeCell="B1" sqref="B1"/>
      <selection pane="bottomLeft" activeCell="C126" sqref="C126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B1" s="39"/>
      <c r="C1" s="6" t="s">
        <v>26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44439</v>
      </c>
      <c r="C4" s="12" t="s">
        <v>27</v>
      </c>
      <c r="D4" s="13"/>
      <c r="E4" s="14"/>
      <c r="F4" s="14"/>
      <c r="G4" s="14"/>
      <c r="H4" s="15"/>
      <c r="I4" s="16"/>
      <c r="J4" s="53">
        <v>0</v>
      </c>
      <c r="K4" s="53">
        <v>52020.81</v>
      </c>
    </row>
    <row r="5" spans="2:11" ht="18.75" x14ac:dyDescent="0.3">
      <c r="B5" s="11">
        <v>44440</v>
      </c>
      <c r="C5" s="40" t="s">
        <v>652</v>
      </c>
      <c r="D5" s="13"/>
      <c r="E5" s="14"/>
      <c r="F5" s="14"/>
      <c r="G5" s="14"/>
      <c r="H5" s="15">
        <v>75</v>
      </c>
      <c r="I5" s="16"/>
      <c r="J5" s="20">
        <f>+J4+E5-G5</f>
        <v>0</v>
      </c>
      <c r="K5" s="20">
        <f>+K4+D5-H5</f>
        <v>51945.81</v>
      </c>
    </row>
    <row r="6" spans="2:11" ht="18.75" x14ac:dyDescent="0.3">
      <c r="B6" s="11">
        <v>44442</v>
      </c>
      <c r="C6" s="17" t="s">
        <v>652</v>
      </c>
      <c r="D6" s="34"/>
      <c r="E6" s="18"/>
      <c r="F6" s="18"/>
      <c r="G6" s="18"/>
      <c r="H6" s="18">
        <v>37.9</v>
      </c>
      <c r="I6" s="19"/>
      <c r="J6" s="20">
        <f t="shared" ref="J6:J51" si="0">+J5+E6-G6</f>
        <v>0</v>
      </c>
      <c r="K6" s="20">
        <f t="shared" ref="K6:K51" si="1">+K5+D6-H6</f>
        <v>51907.909999999996</v>
      </c>
    </row>
    <row r="7" spans="2:11" ht="18.75" x14ac:dyDescent="0.3">
      <c r="B7" s="22">
        <v>44442</v>
      </c>
      <c r="C7" s="21" t="s">
        <v>654</v>
      </c>
      <c r="D7" s="34"/>
      <c r="E7" s="18"/>
      <c r="F7" s="18"/>
      <c r="G7" s="18"/>
      <c r="H7" s="18">
        <v>142.02000000000001</v>
      </c>
      <c r="I7" s="19"/>
      <c r="J7" s="20">
        <f t="shared" si="0"/>
        <v>0</v>
      </c>
      <c r="K7" s="20">
        <f t="shared" si="1"/>
        <v>51765.89</v>
      </c>
    </row>
    <row r="8" spans="2:11" ht="18.75" x14ac:dyDescent="0.3">
      <c r="B8" s="22">
        <v>44442</v>
      </c>
      <c r="C8" s="21" t="s">
        <v>653</v>
      </c>
      <c r="D8" s="34"/>
      <c r="E8" s="18"/>
      <c r="F8" s="18"/>
      <c r="G8" s="18"/>
      <c r="H8" s="18">
        <v>84</v>
      </c>
      <c r="I8" s="19"/>
      <c r="J8" s="20">
        <f t="shared" si="0"/>
        <v>0</v>
      </c>
      <c r="K8" s="20">
        <f t="shared" si="1"/>
        <v>51681.89</v>
      </c>
    </row>
    <row r="9" spans="2:11" ht="18.75" x14ac:dyDescent="0.3">
      <c r="B9" s="22">
        <v>44442</v>
      </c>
      <c r="C9" s="21" t="s">
        <v>655</v>
      </c>
      <c r="D9" s="34"/>
      <c r="E9" s="18"/>
      <c r="F9" s="18"/>
      <c r="G9" s="18"/>
      <c r="H9" s="18">
        <v>340</v>
      </c>
      <c r="I9" s="19"/>
      <c r="J9" s="20">
        <f t="shared" si="0"/>
        <v>0</v>
      </c>
      <c r="K9" s="20">
        <f t="shared" si="1"/>
        <v>51341.89</v>
      </c>
    </row>
    <row r="10" spans="2:11" ht="18.75" x14ac:dyDescent="0.3">
      <c r="B10" s="22">
        <v>44442</v>
      </c>
      <c r="C10" s="21" t="s">
        <v>656</v>
      </c>
      <c r="D10" s="34"/>
      <c r="E10" s="18"/>
      <c r="F10" s="18"/>
      <c r="G10" s="18"/>
      <c r="H10" s="18">
        <v>1500</v>
      </c>
      <c r="I10" s="19"/>
      <c r="J10" s="20">
        <f t="shared" si="0"/>
        <v>0</v>
      </c>
      <c r="K10" s="20">
        <f t="shared" si="1"/>
        <v>49841.89</v>
      </c>
    </row>
    <row r="11" spans="2:11" ht="18.75" x14ac:dyDescent="0.3">
      <c r="B11" s="22">
        <v>44442</v>
      </c>
      <c r="C11" s="41" t="s">
        <v>657</v>
      </c>
      <c r="D11" s="34"/>
      <c r="E11" s="18"/>
      <c r="F11" s="18"/>
      <c r="G11" s="18"/>
      <c r="H11" s="18">
        <v>995</v>
      </c>
      <c r="I11" s="19"/>
      <c r="J11" s="20">
        <f t="shared" si="0"/>
        <v>0</v>
      </c>
      <c r="K11" s="20">
        <f t="shared" si="1"/>
        <v>48846.89</v>
      </c>
    </row>
    <row r="12" spans="2:11" ht="18.75" x14ac:dyDescent="0.3">
      <c r="B12" s="22">
        <v>44443</v>
      </c>
      <c r="C12" s="17" t="s">
        <v>659</v>
      </c>
      <c r="D12" s="34"/>
      <c r="E12" s="18"/>
      <c r="F12" s="18"/>
      <c r="G12" s="18"/>
      <c r="H12" s="18">
        <v>700</v>
      </c>
      <c r="I12" s="19"/>
      <c r="J12" s="20">
        <f t="shared" si="0"/>
        <v>0</v>
      </c>
      <c r="K12" s="20">
        <f t="shared" si="1"/>
        <v>48146.89</v>
      </c>
    </row>
    <row r="13" spans="2:11" ht="18.75" x14ac:dyDescent="0.3">
      <c r="B13" s="22">
        <v>44443</v>
      </c>
      <c r="C13" s="21" t="s">
        <v>652</v>
      </c>
      <c r="D13" s="34"/>
      <c r="E13" s="18"/>
      <c r="F13" s="18"/>
      <c r="G13" s="18"/>
      <c r="H13" s="18">
        <v>38</v>
      </c>
      <c r="I13" s="19"/>
      <c r="J13" s="20">
        <f t="shared" si="0"/>
        <v>0</v>
      </c>
      <c r="K13" s="20">
        <f t="shared" si="1"/>
        <v>48108.89</v>
      </c>
    </row>
    <row r="14" spans="2:11" ht="18.75" x14ac:dyDescent="0.3">
      <c r="B14" s="22">
        <v>44444</v>
      </c>
      <c r="C14" s="21" t="s">
        <v>652</v>
      </c>
      <c r="D14" s="34"/>
      <c r="E14" s="18"/>
      <c r="F14" s="18"/>
      <c r="G14" s="18"/>
      <c r="H14" s="18">
        <v>61</v>
      </c>
      <c r="I14" s="19"/>
      <c r="J14" s="20">
        <f t="shared" si="0"/>
        <v>0</v>
      </c>
      <c r="K14" s="20">
        <f t="shared" si="1"/>
        <v>48047.89</v>
      </c>
    </row>
    <row r="15" spans="2:11" ht="18.75" x14ac:dyDescent="0.3">
      <c r="B15" s="22">
        <v>44444</v>
      </c>
      <c r="C15" s="21" t="s">
        <v>573</v>
      </c>
      <c r="D15" s="34"/>
      <c r="E15" s="18"/>
      <c r="F15" s="18"/>
      <c r="G15" s="18"/>
      <c r="H15" s="18">
        <v>39</v>
      </c>
      <c r="I15" s="19"/>
      <c r="J15" s="20">
        <f t="shared" si="0"/>
        <v>0</v>
      </c>
      <c r="K15" s="20">
        <f t="shared" si="1"/>
        <v>48008.89</v>
      </c>
    </row>
    <row r="16" spans="2:11" ht="18.75" x14ac:dyDescent="0.3">
      <c r="B16" s="22">
        <v>44444</v>
      </c>
      <c r="C16" s="41" t="s">
        <v>43</v>
      </c>
      <c r="D16" s="34">
        <v>32925</v>
      </c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80933.89</v>
      </c>
    </row>
    <row r="17" spans="2:13" ht="18.75" x14ac:dyDescent="0.3">
      <c r="B17" s="22">
        <v>44444</v>
      </c>
      <c r="C17" s="21" t="s">
        <v>660</v>
      </c>
      <c r="D17" s="34"/>
      <c r="E17" s="18"/>
      <c r="F17" s="18"/>
      <c r="G17" s="18"/>
      <c r="H17" s="18">
        <v>3300</v>
      </c>
      <c r="I17" s="19"/>
      <c r="J17" s="20">
        <f t="shared" si="0"/>
        <v>0</v>
      </c>
      <c r="K17" s="20">
        <f t="shared" si="1"/>
        <v>77633.89</v>
      </c>
    </row>
    <row r="18" spans="2:13" ht="18.75" x14ac:dyDescent="0.3">
      <c r="B18" s="22">
        <v>44444</v>
      </c>
      <c r="C18" s="21" t="s">
        <v>661</v>
      </c>
      <c r="D18" s="34"/>
      <c r="E18" s="18"/>
      <c r="F18" s="18"/>
      <c r="G18" s="18"/>
      <c r="H18" s="18">
        <v>100</v>
      </c>
      <c r="I18" s="19"/>
      <c r="J18" s="20">
        <f t="shared" si="0"/>
        <v>0</v>
      </c>
      <c r="K18" s="20">
        <f t="shared" si="1"/>
        <v>77533.89</v>
      </c>
    </row>
    <row r="19" spans="2:13" ht="18.75" x14ac:dyDescent="0.3">
      <c r="B19" s="22">
        <v>44444</v>
      </c>
      <c r="C19" s="21" t="s">
        <v>153</v>
      </c>
      <c r="D19" s="34"/>
      <c r="E19" s="18"/>
      <c r="F19" s="18"/>
      <c r="G19" s="18"/>
      <c r="H19" s="18">
        <v>200</v>
      </c>
      <c r="I19" s="19"/>
      <c r="J19" s="20">
        <f t="shared" si="0"/>
        <v>0</v>
      </c>
      <c r="K19" s="20">
        <f t="shared" si="1"/>
        <v>77333.89</v>
      </c>
    </row>
    <row r="20" spans="2:13" ht="18.75" x14ac:dyDescent="0.3">
      <c r="B20" s="22">
        <v>44444</v>
      </c>
      <c r="C20" s="21" t="s">
        <v>569</v>
      </c>
      <c r="D20" s="34"/>
      <c r="E20" s="18"/>
      <c r="F20" s="18"/>
      <c r="G20" s="18"/>
      <c r="H20" s="18">
        <v>150</v>
      </c>
      <c r="I20" s="19"/>
      <c r="J20" s="20">
        <f t="shared" si="0"/>
        <v>0</v>
      </c>
      <c r="K20" s="20">
        <f t="shared" si="1"/>
        <v>77183.89</v>
      </c>
    </row>
    <row r="21" spans="2:13" ht="18.75" x14ac:dyDescent="0.3">
      <c r="B21" s="22">
        <v>44444</v>
      </c>
      <c r="C21" s="21" t="s">
        <v>662</v>
      </c>
      <c r="D21" s="34"/>
      <c r="E21" s="18"/>
      <c r="F21" s="18"/>
      <c r="G21" s="18"/>
      <c r="H21" s="18">
        <v>500</v>
      </c>
      <c r="I21" s="19"/>
      <c r="J21" s="20">
        <f t="shared" si="0"/>
        <v>0</v>
      </c>
      <c r="K21" s="20">
        <f t="shared" si="1"/>
        <v>76683.89</v>
      </c>
    </row>
    <row r="22" spans="2:13" ht="18.75" x14ac:dyDescent="0.3">
      <c r="B22" s="22">
        <v>44445</v>
      </c>
      <c r="C22" s="21" t="s">
        <v>663</v>
      </c>
      <c r="D22" s="34"/>
      <c r="E22" s="18"/>
      <c r="F22" s="18"/>
      <c r="G22" s="18"/>
      <c r="H22" s="18">
        <v>199.9</v>
      </c>
      <c r="I22" s="19"/>
      <c r="J22" s="20">
        <f t="shared" si="0"/>
        <v>0</v>
      </c>
      <c r="K22" s="20">
        <f t="shared" si="1"/>
        <v>76483.990000000005</v>
      </c>
    </row>
    <row r="23" spans="2:13" ht="18.75" x14ac:dyDescent="0.3">
      <c r="B23" s="22">
        <v>44445</v>
      </c>
      <c r="C23" s="21" t="s">
        <v>664</v>
      </c>
      <c r="D23" s="34"/>
      <c r="E23" s="18"/>
      <c r="F23" s="18"/>
      <c r="G23" s="18"/>
      <c r="H23" s="18">
        <v>126</v>
      </c>
      <c r="I23" s="19"/>
      <c r="J23" s="20">
        <f t="shared" si="0"/>
        <v>0</v>
      </c>
      <c r="K23" s="20">
        <f t="shared" si="1"/>
        <v>76357.990000000005</v>
      </c>
    </row>
    <row r="24" spans="2:13" ht="18.75" x14ac:dyDescent="0.3">
      <c r="B24" s="22">
        <v>44446</v>
      </c>
      <c r="C24" s="21" t="s">
        <v>665</v>
      </c>
      <c r="D24" s="34"/>
      <c r="E24" s="34"/>
      <c r="F24" s="18"/>
      <c r="G24" s="18"/>
      <c r="H24" s="18">
        <v>141</v>
      </c>
      <c r="I24" s="19"/>
      <c r="J24" s="20">
        <f t="shared" si="0"/>
        <v>0</v>
      </c>
      <c r="K24" s="20">
        <f t="shared" si="1"/>
        <v>76216.990000000005</v>
      </c>
    </row>
    <row r="25" spans="2:13" ht="18.75" x14ac:dyDescent="0.3">
      <c r="B25" s="22">
        <v>44446</v>
      </c>
      <c r="C25" s="21" t="s">
        <v>666</v>
      </c>
      <c r="D25" s="34"/>
      <c r="E25" s="34"/>
      <c r="F25" s="18"/>
      <c r="G25" s="18"/>
      <c r="H25" s="18">
        <v>600</v>
      </c>
      <c r="I25" s="19"/>
      <c r="J25" s="20">
        <f t="shared" si="0"/>
        <v>0</v>
      </c>
      <c r="K25" s="20">
        <f t="shared" si="1"/>
        <v>75616.990000000005</v>
      </c>
    </row>
    <row r="26" spans="2:13" ht="18.75" x14ac:dyDescent="0.3">
      <c r="B26" s="42">
        <v>44446</v>
      </c>
      <c r="C26" s="21" t="s">
        <v>667</v>
      </c>
      <c r="D26" s="34"/>
      <c r="E26" s="34"/>
      <c r="F26" s="18"/>
      <c r="G26" s="18"/>
      <c r="H26" s="18">
        <v>300</v>
      </c>
      <c r="I26" s="19"/>
      <c r="J26" s="20">
        <f t="shared" si="0"/>
        <v>0</v>
      </c>
      <c r="K26" s="20">
        <f t="shared" si="1"/>
        <v>75316.990000000005</v>
      </c>
    </row>
    <row r="27" spans="2:13" ht="18.75" x14ac:dyDescent="0.3">
      <c r="B27" s="42">
        <v>44446</v>
      </c>
      <c r="C27" s="21" t="s">
        <v>381</v>
      </c>
      <c r="D27" s="34"/>
      <c r="E27" s="34"/>
      <c r="F27" s="18"/>
      <c r="G27" s="18"/>
      <c r="H27" s="18">
        <v>202.02</v>
      </c>
      <c r="I27" s="19"/>
      <c r="J27" s="20">
        <f t="shared" si="0"/>
        <v>0</v>
      </c>
      <c r="K27" s="20">
        <f t="shared" si="1"/>
        <v>75114.97</v>
      </c>
    </row>
    <row r="28" spans="2:13" ht="18.75" x14ac:dyDescent="0.3">
      <c r="B28" s="46">
        <v>44446</v>
      </c>
      <c r="C28" s="21" t="s">
        <v>668</v>
      </c>
      <c r="D28" s="34"/>
      <c r="E28" s="34"/>
      <c r="F28" s="34"/>
      <c r="G28" s="18"/>
      <c r="H28" s="18">
        <v>1400</v>
      </c>
      <c r="I28" s="19"/>
      <c r="J28" s="20">
        <f t="shared" si="0"/>
        <v>0</v>
      </c>
      <c r="K28" s="20">
        <f t="shared" si="1"/>
        <v>73714.97</v>
      </c>
    </row>
    <row r="29" spans="2:13" ht="18.75" x14ac:dyDescent="0.3">
      <c r="B29" s="44">
        <v>44446</v>
      </c>
      <c r="C29" s="33" t="s">
        <v>669</v>
      </c>
      <c r="D29" s="34"/>
      <c r="E29" s="34"/>
      <c r="F29" s="34"/>
      <c r="G29" s="34"/>
      <c r="H29" s="18">
        <v>900</v>
      </c>
      <c r="I29" s="19"/>
      <c r="J29" s="20">
        <f t="shared" si="0"/>
        <v>0</v>
      </c>
      <c r="K29" s="20">
        <f t="shared" si="1"/>
        <v>72814.97</v>
      </c>
    </row>
    <row r="30" spans="2:13" ht="18.75" x14ac:dyDescent="0.3">
      <c r="B30" s="42">
        <v>44446</v>
      </c>
      <c r="C30" s="33" t="s">
        <v>670</v>
      </c>
      <c r="D30" s="34"/>
      <c r="E30" s="18"/>
      <c r="F30" s="18"/>
      <c r="G30" s="18"/>
      <c r="H30" s="18">
        <v>500</v>
      </c>
      <c r="I30" s="19"/>
      <c r="J30" s="20">
        <f t="shared" si="0"/>
        <v>0</v>
      </c>
      <c r="K30" s="20">
        <f t="shared" si="1"/>
        <v>72314.97</v>
      </c>
      <c r="M30">
        <v>1785</v>
      </c>
    </row>
    <row r="31" spans="2:13" ht="18.75" x14ac:dyDescent="0.3">
      <c r="B31" s="42">
        <v>44446</v>
      </c>
      <c r="C31" s="54" t="s">
        <v>671</v>
      </c>
      <c r="D31" s="34"/>
      <c r="E31" s="18"/>
      <c r="F31" s="18"/>
      <c r="G31" s="18"/>
      <c r="H31" s="18">
        <v>91.4</v>
      </c>
      <c r="I31" s="19"/>
      <c r="J31" s="20">
        <f t="shared" si="0"/>
        <v>0</v>
      </c>
      <c r="K31" s="20">
        <f t="shared" si="1"/>
        <v>72223.570000000007</v>
      </c>
    </row>
    <row r="32" spans="2:13" ht="18.75" x14ac:dyDescent="0.3">
      <c r="B32" s="42">
        <v>44447</v>
      </c>
      <c r="C32" s="43" t="s">
        <v>672</v>
      </c>
      <c r="D32" s="34"/>
      <c r="E32" s="18"/>
      <c r="F32" s="18"/>
      <c r="G32" s="18"/>
      <c r="H32" s="18">
        <v>240</v>
      </c>
      <c r="I32" s="19"/>
      <c r="J32" s="20">
        <f t="shared" si="0"/>
        <v>0</v>
      </c>
      <c r="K32" s="20">
        <f t="shared" si="1"/>
        <v>71983.570000000007</v>
      </c>
    </row>
    <row r="33" spans="2:11" ht="18.75" x14ac:dyDescent="0.3">
      <c r="B33" s="42">
        <v>44447</v>
      </c>
      <c r="C33" s="33" t="s">
        <v>673</v>
      </c>
      <c r="D33" s="34"/>
      <c r="E33" s="18"/>
      <c r="F33" s="18"/>
      <c r="G33" s="18"/>
      <c r="H33" s="18">
        <v>480</v>
      </c>
      <c r="I33" s="19"/>
      <c r="J33" s="20">
        <f t="shared" si="0"/>
        <v>0</v>
      </c>
      <c r="K33" s="20">
        <f t="shared" si="1"/>
        <v>71503.570000000007</v>
      </c>
    </row>
    <row r="34" spans="2:11" ht="18.75" x14ac:dyDescent="0.3">
      <c r="B34" s="49">
        <v>44448</v>
      </c>
      <c r="C34" s="100" t="s">
        <v>674</v>
      </c>
      <c r="D34" s="34"/>
      <c r="E34" s="18"/>
      <c r="F34" s="18"/>
      <c r="G34" s="18"/>
      <c r="H34" s="18">
        <v>790</v>
      </c>
      <c r="I34" s="19"/>
      <c r="J34" s="20">
        <f t="shared" si="0"/>
        <v>0</v>
      </c>
      <c r="K34" s="20">
        <f t="shared" si="1"/>
        <v>70713.570000000007</v>
      </c>
    </row>
    <row r="35" spans="2:11" ht="18.75" x14ac:dyDescent="0.3">
      <c r="B35" s="42">
        <v>44448</v>
      </c>
      <c r="C35" s="33" t="s">
        <v>675</v>
      </c>
      <c r="D35" s="34"/>
      <c r="E35" s="18"/>
      <c r="F35" s="18"/>
      <c r="G35" s="18"/>
      <c r="H35" s="18">
        <v>46.5</v>
      </c>
      <c r="I35" s="19"/>
      <c r="J35" s="20">
        <f t="shared" si="0"/>
        <v>0</v>
      </c>
      <c r="K35" s="20">
        <f t="shared" si="1"/>
        <v>70667.070000000007</v>
      </c>
    </row>
    <row r="36" spans="2:11" ht="18.75" x14ac:dyDescent="0.3">
      <c r="B36" s="57">
        <v>44448</v>
      </c>
      <c r="C36" s="43" t="s">
        <v>655</v>
      </c>
      <c r="D36" s="34"/>
      <c r="E36" s="18"/>
      <c r="F36" s="18"/>
      <c r="G36" s="18"/>
      <c r="H36" s="18">
        <v>75</v>
      </c>
      <c r="I36" s="19"/>
      <c r="J36" s="20">
        <f t="shared" si="0"/>
        <v>0</v>
      </c>
      <c r="K36" s="20">
        <f t="shared" si="1"/>
        <v>70592.070000000007</v>
      </c>
    </row>
    <row r="37" spans="2:11" ht="18.75" x14ac:dyDescent="0.3">
      <c r="B37" s="42">
        <v>44448</v>
      </c>
      <c r="C37" s="56" t="s">
        <v>676</v>
      </c>
      <c r="D37" s="34"/>
      <c r="E37" s="18"/>
      <c r="F37" s="18"/>
      <c r="G37" s="18"/>
      <c r="H37" s="18">
        <v>120</v>
      </c>
      <c r="I37" s="19"/>
      <c r="J37" s="20">
        <f t="shared" si="0"/>
        <v>0</v>
      </c>
      <c r="K37" s="20">
        <f t="shared" si="1"/>
        <v>70472.070000000007</v>
      </c>
    </row>
    <row r="38" spans="2:11" ht="18.75" x14ac:dyDescent="0.3">
      <c r="B38" s="47">
        <v>44448</v>
      </c>
      <c r="C38" s="33" t="s">
        <v>677</v>
      </c>
      <c r="D38" s="34"/>
      <c r="E38" s="18"/>
      <c r="F38" s="18"/>
      <c r="G38" s="18"/>
      <c r="H38" s="18">
        <v>700</v>
      </c>
      <c r="I38" s="19"/>
      <c r="J38" s="20">
        <f t="shared" si="0"/>
        <v>0</v>
      </c>
      <c r="K38" s="20">
        <f t="shared" si="1"/>
        <v>69772.070000000007</v>
      </c>
    </row>
    <row r="39" spans="2:11" ht="18.75" x14ac:dyDescent="0.3">
      <c r="B39" s="42">
        <v>44449</v>
      </c>
      <c r="C39" s="33" t="s">
        <v>678</v>
      </c>
      <c r="D39" s="34"/>
      <c r="E39" s="18"/>
      <c r="F39" s="18"/>
      <c r="G39" s="18"/>
      <c r="H39" s="18">
        <v>84</v>
      </c>
      <c r="I39" s="19"/>
      <c r="J39" s="20">
        <f t="shared" si="0"/>
        <v>0</v>
      </c>
      <c r="K39" s="20">
        <f t="shared" si="1"/>
        <v>69688.070000000007</v>
      </c>
    </row>
    <row r="40" spans="2:11" ht="18.75" x14ac:dyDescent="0.3">
      <c r="B40" s="42">
        <v>44449</v>
      </c>
      <c r="C40" s="54" t="s">
        <v>679</v>
      </c>
      <c r="D40" s="34"/>
      <c r="E40" s="18"/>
      <c r="F40" s="18"/>
      <c r="G40" s="18"/>
      <c r="H40" s="18">
        <v>219.89</v>
      </c>
      <c r="I40" s="19"/>
      <c r="J40" s="20">
        <f t="shared" si="0"/>
        <v>0</v>
      </c>
      <c r="K40" s="20">
        <f t="shared" si="1"/>
        <v>69468.180000000008</v>
      </c>
    </row>
    <row r="41" spans="2:11" ht="18.75" x14ac:dyDescent="0.3">
      <c r="B41" s="42">
        <v>44449</v>
      </c>
      <c r="C41" s="54" t="s">
        <v>658</v>
      </c>
      <c r="D41" s="34"/>
      <c r="E41" s="18"/>
      <c r="F41" s="18"/>
      <c r="G41" s="18"/>
      <c r="H41" s="18">
        <v>1785</v>
      </c>
      <c r="I41" s="19"/>
      <c r="J41" s="20">
        <f t="shared" si="0"/>
        <v>0</v>
      </c>
      <c r="K41" s="20">
        <f t="shared" si="1"/>
        <v>67683.180000000008</v>
      </c>
    </row>
    <row r="42" spans="2:11" ht="18.75" x14ac:dyDescent="0.3">
      <c r="B42" s="42">
        <v>44449</v>
      </c>
      <c r="C42" s="43" t="s">
        <v>448</v>
      </c>
      <c r="D42" s="34"/>
      <c r="E42" s="18"/>
      <c r="F42" s="18"/>
      <c r="G42" s="18"/>
      <c r="H42" s="18">
        <v>3000</v>
      </c>
      <c r="I42" s="19"/>
      <c r="J42" s="20">
        <f t="shared" si="0"/>
        <v>0</v>
      </c>
      <c r="K42" s="20">
        <f t="shared" si="1"/>
        <v>64683.180000000008</v>
      </c>
    </row>
    <row r="43" spans="2:11" ht="18.75" x14ac:dyDescent="0.3">
      <c r="B43" s="42">
        <v>44451</v>
      </c>
      <c r="C43" s="33" t="s">
        <v>680</v>
      </c>
      <c r="D43" s="34"/>
      <c r="E43" s="18"/>
      <c r="F43" s="18"/>
      <c r="G43" s="18"/>
      <c r="H43" s="18">
        <v>250</v>
      </c>
      <c r="I43" s="19"/>
      <c r="J43" s="20">
        <f t="shared" si="0"/>
        <v>0</v>
      </c>
      <c r="K43" s="20">
        <f t="shared" si="1"/>
        <v>64433.180000000008</v>
      </c>
    </row>
    <row r="44" spans="2:11" ht="18.75" x14ac:dyDescent="0.3">
      <c r="B44" s="42">
        <v>44451</v>
      </c>
      <c r="C44" s="54" t="s">
        <v>168</v>
      </c>
      <c r="D44" s="34"/>
      <c r="E44" s="18"/>
      <c r="F44" s="18"/>
      <c r="G44" s="18"/>
      <c r="H44" s="18">
        <v>100</v>
      </c>
      <c r="I44" s="19"/>
      <c r="J44" s="20">
        <f t="shared" ref="J44:J49" si="2">+J43+E44-G44</f>
        <v>0</v>
      </c>
      <c r="K44" s="20">
        <f t="shared" ref="K44:K49" si="3">+K43+D44-H44</f>
        <v>64333.180000000008</v>
      </c>
    </row>
    <row r="45" spans="2:11" ht="18.75" x14ac:dyDescent="0.3">
      <c r="B45" s="42">
        <v>44451</v>
      </c>
      <c r="C45" s="43" t="s">
        <v>681</v>
      </c>
      <c r="D45" s="34"/>
      <c r="E45" s="18"/>
      <c r="F45" s="18"/>
      <c r="G45" s="18"/>
      <c r="H45" s="18">
        <v>200</v>
      </c>
      <c r="I45" s="19"/>
      <c r="J45" s="20">
        <f t="shared" si="2"/>
        <v>0</v>
      </c>
      <c r="K45" s="20">
        <f t="shared" si="3"/>
        <v>64133.180000000008</v>
      </c>
    </row>
    <row r="46" spans="2:11" ht="18.75" x14ac:dyDescent="0.3">
      <c r="B46" s="42">
        <v>44451</v>
      </c>
      <c r="C46" s="33" t="s">
        <v>555</v>
      </c>
      <c r="D46" s="34"/>
      <c r="E46" s="18"/>
      <c r="F46" s="18"/>
      <c r="G46" s="18"/>
      <c r="H46" s="18">
        <v>150</v>
      </c>
      <c r="I46" s="19"/>
      <c r="J46" s="20">
        <f t="shared" si="2"/>
        <v>0</v>
      </c>
      <c r="K46" s="20">
        <f t="shared" si="3"/>
        <v>63983.180000000008</v>
      </c>
    </row>
    <row r="47" spans="2:11" ht="18.75" x14ac:dyDescent="0.3">
      <c r="B47" s="42">
        <v>44451</v>
      </c>
      <c r="C47" s="33" t="s">
        <v>60</v>
      </c>
      <c r="D47" s="34">
        <v>35000</v>
      </c>
      <c r="E47" s="18"/>
      <c r="F47" s="18"/>
      <c r="G47" s="18"/>
      <c r="H47" s="18"/>
      <c r="I47" s="19"/>
      <c r="J47" s="20">
        <f t="shared" si="2"/>
        <v>0</v>
      </c>
      <c r="K47" s="20">
        <f t="shared" si="3"/>
        <v>98983.180000000008</v>
      </c>
    </row>
    <row r="48" spans="2:11" ht="18.75" x14ac:dyDescent="0.3">
      <c r="B48" s="42">
        <v>44452</v>
      </c>
      <c r="C48" s="33" t="s">
        <v>381</v>
      </c>
      <c r="D48" s="34"/>
      <c r="E48" s="18"/>
      <c r="F48" s="18"/>
      <c r="G48" s="18"/>
      <c r="H48" s="18">
        <v>237</v>
      </c>
      <c r="I48" s="19"/>
      <c r="J48" s="20">
        <f t="shared" si="2"/>
        <v>0</v>
      </c>
      <c r="K48" s="20">
        <f t="shared" si="3"/>
        <v>98746.180000000008</v>
      </c>
    </row>
    <row r="49" spans="2:13" ht="18.75" x14ac:dyDescent="0.3">
      <c r="B49" s="42">
        <v>44452</v>
      </c>
      <c r="C49" s="33" t="s">
        <v>682</v>
      </c>
      <c r="D49" s="34"/>
      <c r="E49" s="18"/>
      <c r="F49" s="18"/>
      <c r="G49" s="18"/>
      <c r="H49" s="18">
        <v>199.9</v>
      </c>
      <c r="I49" s="19"/>
      <c r="J49" s="20">
        <f t="shared" si="2"/>
        <v>0</v>
      </c>
      <c r="K49" s="20">
        <f t="shared" si="3"/>
        <v>98546.280000000013</v>
      </c>
    </row>
    <row r="50" spans="2:13" ht="18.75" x14ac:dyDescent="0.3">
      <c r="B50" s="42">
        <v>44452</v>
      </c>
      <c r="C50" s="33" t="s">
        <v>683</v>
      </c>
      <c r="D50" s="34"/>
      <c r="E50" s="18"/>
      <c r="F50" s="18"/>
      <c r="G50" s="18"/>
      <c r="H50" s="18">
        <v>700</v>
      </c>
      <c r="I50" s="19"/>
      <c r="J50" s="20">
        <f t="shared" si="0"/>
        <v>0</v>
      </c>
      <c r="K50" s="20">
        <f t="shared" si="1"/>
        <v>97846.280000000013</v>
      </c>
    </row>
    <row r="51" spans="2:13" ht="19.5" thickBot="1" x14ac:dyDescent="0.35">
      <c r="B51" s="42">
        <v>44452</v>
      </c>
      <c r="C51" s="33" t="s">
        <v>684</v>
      </c>
      <c r="D51" s="34"/>
      <c r="E51" s="18"/>
      <c r="F51" s="18"/>
      <c r="G51" s="18"/>
      <c r="H51" s="18">
        <v>120</v>
      </c>
      <c r="I51" s="19"/>
      <c r="J51" s="20">
        <f t="shared" si="0"/>
        <v>0</v>
      </c>
      <c r="K51" s="20">
        <f t="shared" si="1"/>
        <v>97726.280000000013</v>
      </c>
      <c r="M51">
        <f>SUM(M35)</f>
        <v>0</v>
      </c>
    </row>
    <row r="52" spans="2:13" ht="19.5" thickBot="1" x14ac:dyDescent="0.35">
      <c r="B52" s="25"/>
      <c r="C52" s="26" t="s">
        <v>0</v>
      </c>
      <c r="D52" s="27">
        <f>SUM(D4:D51)</f>
        <v>67925</v>
      </c>
      <c r="E52" s="28">
        <f>SUM(E4:E51)</f>
        <v>0</v>
      </c>
      <c r="F52" s="29">
        <f>SUM(D52:E52)</f>
        <v>67925</v>
      </c>
      <c r="G52" s="30">
        <f>SUM(G4:G51)</f>
        <v>0</v>
      </c>
      <c r="H52" s="27">
        <f>SUM(H4:H51)</f>
        <v>22219.53</v>
      </c>
      <c r="I52" s="29">
        <f>SUM(G52:H52)</f>
        <v>22219.53</v>
      </c>
      <c r="J52" s="20"/>
      <c r="K52" s="20"/>
    </row>
    <row r="53" spans="2:13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3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3" ht="19.5" thickBot="1" x14ac:dyDescent="0.35">
      <c r="B55" s="25"/>
      <c r="C55" s="26"/>
      <c r="D55" s="27">
        <v>67925</v>
      </c>
      <c r="E55" s="28">
        <v>0</v>
      </c>
      <c r="F55" s="29">
        <f>SUM(D55:E55)</f>
        <v>67925</v>
      </c>
      <c r="G55" s="30">
        <v>0</v>
      </c>
      <c r="H55" s="27">
        <v>22219.53</v>
      </c>
      <c r="I55" s="29">
        <f>SUM(G55:H55)</f>
        <v>22219.53</v>
      </c>
      <c r="J55" s="53">
        <v>0</v>
      </c>
      <c r="K55" s="53">
        <v>0</v>
      </c>
    </row>
    <row r="56" spans="2:13" ht="18.75" x14ac:dyDescent="0.3">
      <c r="B56" s="42">
        <v>44452</v>
      </c>
      <c r="C56" s="33" t="s">
        <v>685</v>
      </c>
      <c r="D56" s="34"/>
      <c r="E56" s="18"/>
      <c r="F56" s="18"/>
      <c r="G56" s="18"/>
      <c r="H56" s="18">
        <v>300</v>
      </c>
      <c r="I56" s="19"/>
      <c r="J56" s="20">
        <f>+J51+E56-G56</f>
        <v>0</v>
      </c>
      <c r="K56" s="20">
        <f>+K51+D56-H56</f>
        <v>97426.280000000013</v>
      </c>
    </row>
    <row r="57" spans="2:13" ht="18.75" x14ac:dyDescent="0.3">
      <c r="B57" s="42">
        <v>44452</v>
      </c>
      <c r="C57" s="17" t="s">
        <v>686</v>
      </c>
      <c r="D57" s="34"/>
      <c r="E57" s="18"/>
      <c r="F57" s="18"/>
      <c r="G57" s="18"/>
      <c r="H57" s="18">
        <v>1050</v>
      </c>
      <c r="I57" s="19"/>
      <c r="J57" s="20">
        <f>+J56+E57-G57</f>
        <v>0</v>
      </c>
      <c r="K57" s="20">
        <f>+K56+D57-H57</f>
        <v>96376.280000000013</v>
      </c>
    </row>
    <row r="58" spans="2:13" ht="18.75" x14ac:dyDescent="0.3">
      <c r="B58" s="22">
        <v>44452</v>
      </c>
      <c r="C58" s="21" t="s">
        <v>687</v>
      </c>
      <c r="D58" s="34"/>
      <c r="E58" s="18"/>
      <c r="F58" s="18"/>
      <c r="G58" s="18"/>
      <c r="H58" s="18">
        <v>810</v>
      </c>
      <c r="I58" s="19"/>
      <c r="J58" s="20">
        <f t="shared" ref="J58:J96" si="4">+J57+E58-G58</f>
        <v>0</v>
      </c>
      <c r="K58" s="20">
        <f t="shared" ref="K58:K96" si="5">+K57+D58-H58</f>
        <v>95566.280000000013</v>
      </c>
    </row>
    <row r="59" spans="2:13" ht="18.75" x14ac:dyDescent="0.3">
      <c r="B59" s="42">
        <v>44452</v>
      </c>
      <c r="C59" s="21" t="s">
        <v>689</v>
      </c>
      <c r="D59" s="34"/>
      <c r="E59" s="18"/>
      <c r="F59" s="18"/>
      <c r="G59" s="18"/>
      <c r="H59" s="18">
        <v>43.5</v>
      </c>
      <c r="I59" s="19"/>
      <c r="J59" s="20">
        <f t="shared" si="4"/>
        <v>0</v>
      </c>
      <c r="K59" s="20">
        <f t="shared" si="5"/>
        <v>95522.780000000013</v>
      </c>
    </row>
    <row r="60" spans="2:13" ht="18.75" x14ac:dyDescent="0.3">
      <c r="B60" s="47">
        <v>44453</v>
      </c>
      <c r="C60" s="94" t="s">
        <v>652</v>
      </c>
      <c r="D60" s="34"/>
      <c r="E60" s="18"/>
      <c r="F60" s="18"/>
      <c r="G60" s="18"/>
      <c r="H60" s="18">
        <v>47</v>
      </c>
      <c r="I60" s="19"/>
      <c r="J60" s="20">
        <f t="shared" si="4"/>
        <v>0</v>
      </c>
      <c r="K60" s="20">
        <f t="shared" si="5"/>
        <v>95475.780000000013</v>
      </c>
    </row>
    <row r="61" spans="2:13" ht="18.75" x14ac:dyDescent="0.3">
      <c r="B61" s="47">
        <v>44391</v>
      </c>
      <c r="C61" s="41" t="s">
        <v>690</v>
      </c>
      <c r="D61" s="34"/>
      <c r="E61" s="18"/>
      <c r="F61" s="18"/>
      <c r="G61" s="18"/>
      <c r="H61" s="18">
        <v>80</v>
      </c>
      <c r="I61" s="19"/>
      <c r="J61" s="20">
        <f t="shared" si="4"/>
        <v>0</v>
      </c>
      <c r="K61" s="20">
        <f t="shared" si="5"/>
        <v>95395.780000000013</v>
      </c>
    </row>
    <row r="62" spans="2:13" ht="18.75" x14ac:dyDescent="0.3">
      <c r="B62" s="47">
        <v>44391</v>
      </c>
      <c r="C62" s="21" t="s">
        <v>411</v>
      </c>
      <c r="D62" s="34"/>
      <c r="E62" s="18"/>
      <c r="F62" s="18"/>
      <c r="G62" s="18"/>
      <c r="H62" s="18">
        <v>106</v>
      </c>
      <c r="I62" s="19"/>
      <c r="J62" s="20">
        <f t="shared" si="4"/>
        <v>0</v>
      </c>
      <c r="K62" s="20">
        <f t="shared" si="5"/>
        <v>95289.780000000013</v>
      </c>
    </row>
    <row r="63" spans="2:13" ht="18.75" x14ac:dyDescent="0.3">
      <c r="B63" s="47">
        <v>44392</v>
      </c>
      <c r="C63" s="54" t="s">
        <v>690</v>
      </c>
      <c r="D63" s="34"/>
      <c r="E63" s="34"/>
      <c r="F63" s="34"/>
      <c r="G63" s="34"/>
      <c r="H63" s="18">
        <v>59.5</v>
      </c>
      <c r="I63" s="19"/>
      <c r="J63" s="20">
        <f t="shared" si="4"/>
        <v>0</v>
      </c>
      <c r="K63" s="20">
        <f t="shared" si="5"/>
        <v>95230.280000000013</v>
      </c>
    </row>
    <row r="64" spans="2:13" ht="18.75" x14ac:dyDescent="0.3">
      <c r="B64" s="42">
        <v>44392</v>
      </c>
      <c r="C64" s="33" t="s">
        <v>691</v>
      </c>
      <c r="D64" s="34"/>
      <c r="E64" s="18"/>
      <c r="F64" s="18"/>
      <c r="G64" s="18"/>
      <c r="H64" s="18">
        <v>350</v>
      </c>
      <c r="I64" s="19"/>
      <c r="J64" s="20">
        <f t="shared" si="4"/>
        <v>0</v>
      </c>
      <c r="K64" s="20">
        <f t="shared" si="5"/>
        <v>94880.280000000013</v>
      </c>
    </row>
    <row r="65" spans="2:12" ht="18.75" x14ac:dyDescent="0.3">
      <c r="B65" s="42">
        <v>44454</v>
      </c>
      <c r="C65" s="33" t="s">
        <v>692</v>
      </c>
      <c r="D65" s="34"/>
      <c r="E65" s="18"/>
      <c r="F65" s="18"/>
      <c r="G65" s="18"/>
      <c r="H65" s="18">
        <v>3000</v>
      </c>
      <c r="I65" s="19"/>
      <c r="J65" s="20">
        <f t="shared" si="4"/>
        <v>0</v>
      </c>
      <c r="K65" s="20">
        <f t="shared" si="5"/>
        <v>91880.280000000013</v>
      </c>
    </row>
    <row r="66" spans="2:12" ht="18.75" x14ac:dyDescent="0.3">
      <c r="B66" s="47">
        <v>44454</v>
      </c>
      <c r="C66" s="54" t="s">
        <v>81</v>
      </c>
      <c r="D66" s="34"/>
      <c r="E66" s="34"/>
      <c r="F66" s="34"/>
      <c r="G66" s="34"/>
      <c r="H66" s="18">
        <v>5000</v>
      </c>
      <c r="I66" s="19"/>
      <c r="J66" s="20">
        <f t="shared" si="4"/>
        <v>0</v>
      </c>
      <c r="K66" s="20">
        <f t="shared" si="5"/>
        <v>86880.280000000013</v>
      </c>
    </row>
    <row r="67" spans="2:12" ht="18.75" x14ac:dyDescent="0.3">
      <c r="B67" s="42">
        <v>44454</v>
      </c>
      <c r="C67" s="33" t="s">
        <v>170</v>
      </c>
      <c r="D67" s="34"/>
      <c r="E67" s="18"/>
      <c r="F67" s="18"/>
      <c r="G67" s="18"/>
      <c r="H67" s="18">
        <v>250</v>
      </c>
      <c r="I67" s="19"/>
      <c r="J67" s="20">
        <f t="shared" si="4"/>
        <v>0</v>
      </c>
      <c r="K67" s="20">
        <f t="shared" si="5"/>
        <v>86630.280000000013</v>
      </c>
    </row>
    <row r="68" spans="2:12" ht="18.75" x14ac:dyDescent="0.3">
      <c r="B68" s="42">
        <v>44454</v>
      </c>
      <c r="C68" s="33" t="s">
        <v>171</v>
      </c>
      <c r="D68" s="34"/>
      <c r="E68" s="18"/>
      <c r="F68" s="18"/>
      <c r="G68" s="18"/>
      <c r="H68" s="18">
        <v>300</v>
      </c>
      <c r="I68" s="19"/>
      <c r="J68" s="20">
        <f t="shared" si="4"/>
        <v>0</v>
      </c>
      <c r="K68" s="20">
        <f t="shared" si="5"/>
        <v>86330.280000000013</v>
      </c>
    </row>
    <row r="69" spans="2:12" ht="18.75" x14ac:dyDescent="0.3">
      <c r="B69" s="42">
        <v>44454</v>
      </c>
      <c r="C69" s="33" t="s">
        <v>172</v>
      </c>
      <c r="D69" s="34"/>
      <c r="E69" s="34"/>
      <c r="F69" s="34"/>
      <c r="G69" s="34"/>
      <c r="H69" s="18">
        <v>650</v>
      </c>
      <c r="I69" s="19"/>
      <c r="J69" s="20">
        <f t="shared" si="4"/>
        <v>0</v>
      </c>
      <c r="K69" s="20">
        <f t="shared" si="5"/>
        <v>85680.280000000013</v>
      </c>
    </row>
    <row r="70" spans="2:12" ht="18.75" x14ac:dyDescent="0.3">
      <c r="B70" s="47">
        <v>44454</v>
      </c>
      <c r="C70" s="21" t="s">
        <v>231</v>
      </c>
      <c r="D70" s="34"/>
      <c r="E70" s="34"/>
      <c r="F70" s="34"/>
      <c r="G70" s="34"/>
      <c r="H70" s="18">
        <v>3400</v>
      </c>
      <c r="I70" s="19"/>
      <c r="J70" s="20">
        <f t="shared" si="4"/>
        <v>0</v>
      </c>
      <c r="K70" s="20">
        <f t="shared" si="5"/>
        <v>82280.280000000013</v>
      </c>
    </row>
    <row r="71" spans="2:12" ht="18.75" x14ac:dyDescent="0.3">
      <c r="B71" s="22">
        <v>44454</v>
      </c>
      <c r="C71" s="43" t="s">
        <v>448</v>
      </c>
      <c r="D71" s="18"/>
      <c r="E71" s="18"/>
      <c r="F71" s="18"/>
      <c r="G71" s="18"/>
      <c r="H71" s="18">
        <v>6000</v>
      </c>
      <c r="I71" s="19"/>
      <c r="J71" s="20">
        <f t="shared" si="4"/>
        <v>0</v>
      </c>
      <c r="K71" s="20">
        <f t="shared" si="5"/>
        <v>76280.280000000013</v>
      </c>
    </row>
    <row r="72" spans="2:12" ht="18.75" x14ac:dyDescent="0.3">
      <c r="B72" s="42">
        <v>44454</v>
      </c>
      <c r="C72" s="43" t="s">
        <v>83</v>
      </c>
      <c r="D72" s="18"/>
      <c r="E72" s="18"/>
      <c r="F72" s="18"/>
      <c r="G72" s="18"/>
      <c r="H72" s="18">
        <v>33800</v>
      </c>
      <c r="I72" s="19"/>
      <c r="J72" s="20">
        <f t="shared" si="4"/>
        <v>0</v>
      </c>
      <c r="K72" s="20">
        <f t="shared" si="5"/>
        <v>42480.280000000013</v>
      </c>
    </row>
    <row r="73" spans="2:12" ht="18.75" x14ac:dyDescent="0.3">
      <c r="B73" s="44">
        <v>44454</v>
      </c>
      <c r="C73" s="43" t="s">
        <v>84</v>
      </c>
      <c r="D73" s="34"/>
      <c r="E73" s="18"/>
      <c r="F73" s="18"/>
      <c r="G73" s="18"/>
      <c r="H73" s="18">
        <v>5950</v>
      </c>
      <c r="I73" s="19"/>
      <c r="J73" s="20">
        <f t="shared" si="4"/>
        <v>0</v>
      </c>
      <c r="K73" s="20">
        <f t="shared" si="5"/>
        <v>36530.280000000013</v>
      </c>
    </row>
    <row r="74" spans="2:12" ht="18.75" x14ac:dyDescent="0.3">
      <c r="B74" s="42">
        <v>44456</v>
      </c>
      <c r="C74" s="33" t="s">
        <v>663</v>
      </c>
      <c r="D74" s="34"/>
      <c r="E74" s="18"/>
      <c r="F74" s="18"/>
      <c r="G74" s="18"/>
      <c r="H74" s="18">
        <v>198.5</v>
      </c>
      <c r="I74" s="19"/>
      <c r="J74" s="20">
        <f t="shared" si="4"/>
        <v>0</v>
      </c>
      <c r="K74" s="20">
        <f t="shared" si="5"/>
        <v>36331.780000000013</v>
      </c>
    </row>
    <row r="75" spans="2:12" ht="18.75" x14ac:dyDescent="0.3">
      <c r="B75" s="42">
        <v>44458</v>
      </c>
      <c r="C75" s="33" t="s">
        <v>693</v>
      </c>
      <c r="D75" s="34"/>
      <c r="E75" s="18"/>
      <c r="F75" s="18"/>
      <c r="G75" s="18"/>
      <c r="H75" s="18">
        <v>300</v>
      </c>
      <c r="I75" s="19"/>
      <c r="J75" s="20">
        <f t="shared" si="4"/>
        <v>0</v>
      </c>
      <c r="K75" s="20">
        <f t="shared" si="5"/>
        <v>36031.780000000013</v>
      </c>
    </row>
    <row r="76" spans="2:12" ht="18.75" x14ac:dyDescent="0.3">
      <c r="B76" s="42">
        <v>44458</v>
      </c>
      <c r="C76" s="33" t="s">
        <v>159</v>
      </c>
      <c r="D76" s="34"/>
      <c r="E76" s="34"/>
      <c r="F76" s="34"/>
      <c r="G76" s="34"/>
      <c r="H76" s="18">
        <v>490</v>
      </c>
      <c r="I76" s="19"/>
      <c r="J76" s="20">
        <f t="shared" si="4"/>
        <v>0</v>
      </c>
      <c r="K76" s="20">
        <f t="shared" si="5"/>
        <v>35541.780000000013</v>
      </c>
    </row>
    <row r="77" spans="2:12" ht="18.75" x14ac:dyDescent="0.3">
      <c r="B77" s="47">
        <v>44458</v>
      </c>
      <c r="C77" s="21" t="s">
        <v>391</v>
      </c>
      <c r="D77" s="34"/>
      <c r="E77" s="34"/>
      <c r="F77" s="34"/>
      <c r="G77" s="34"/>
      <c r="H77" s="18">
        <v>84</v>
      </c>
      <c r="I77" s="19"/>
      <c r="J77" s="20">
        <f t="shared" si="4"/>
        <v>0</v>
      </c>
      <c r="K77" s="20">
        <f t="shared" si="5"/>
        <v>35457.780000000013</v>
      </c>
    </row>
    <row r="78" spans="2:12" ht="18.75" x14ac:dyDescent="0.3">
      <c r="B78" s="22">
        <v>44458</v>
      </c>
      <c r="C78" s="43" t="s">
        <v>497</v>
      </c>
      <c r="D78" s="18"/>
      <c r="E78" s="18"/>
      <c r="F78" s="18"/>
      <c r="G78" s="18"/>
      <c r="H78" s="18">
        <v>100</v>
      </c>
      <c r="I78" s="19"/>
      <c r="J78" s="20">
        <f t="shared" si="4"/>
        <v>0</v>
      </c>
      <c r="K78" s="20">
        <f t="shared" si="5"/>
        <v>35357.780000000013</v>
      </c>
      <c r="L78" s="1"/>
    </row>
    <row r="79" spans="2:12" ht="18.75" x14ac:dyDescent="0.3">
      <c r="B79" s="42">
        <v>44458</v>
      </c>
      <c r="C79" s="43" t="s">
        <v>181</v>
      </c>
      <c r="D79" s="18"/>
      <c r="E79" s="18"/>
      <c r="F79" s="18"/>
      <c r="G79" s="18"/>
      <c r="H79" s="18">
        <v>200</v>
      </c>
      <c r="I79" s="19"/>
      <c r="J79" s="20">
        <f t="shared" si="4"/>
        <v>0</v>
      </c>
      <c r="K79" s="20">
        <f t="shared" si="5"/>
        <v>35157.780000000013</v>
      </c>
      <c r="L79" s="1"/>
    </row>
    <row r="80" spans="2:12" ht="18.75" x14ac:dyDescent="0.3">
      <c r="B80" s="44">
        <v>44458</v>
      </c>
      <c r="C80" s="43" t="s">
        <v>694</v>
      </c>
      <c r="D80" s="34"/>
      <c r="E80" s="18"/>
      <c r="F80" s="18"/>
      <c r="G80" s="18"/>
      <c r="H80" s="18">
        <v>150</v>
      </c>
      <c r="I80" s="19"/>
      <c r="J80" s="20">
        <f t="shared" si="4"/>
        <v>0</v>
      </c>
      <c r="K80" s="20">
        <f t="shared" si="5"/>
        <v>35007.780000000013</v>
      </c>
      <c r="L80" s="1"/>
    </row>
    <row r="81" spans="2:12" ht="18.75" x14ac:dyDescent="0.3">
      <c r="B81" s="47">
        <v>44458</v>
      </c>
      <c r="C81" s="43" t="s">
        <v>695</v>
      </c>
      <c r="D81" s="34"/>
      <c r="E81" s="18"/>
      <c r="F81" s="18"/>
      <c r="G81" s="18"/>
      <c r="H81" s="18">
        <v>200</v>
      </c>
      <c r="I81" s="19"/>
      <c r="J81" s="20">
        <f t="shared" si="4"/>
        <v>0</v>
      </c>
      <c r="K81" s="20">
        <f t="shared" si="5"/>
        <v>34807.780000000013</v>
      </c>
    </row>
    <row r="82" spans="2:12" ht="18.75" x14ac:dyDescent="0.3">
      <c r="B82" s="47">
        <v>44458</v>
      </c>
      <c r="C82" s="17" t="s">
        <v>676</v>
      </c>
      <c r="D82" s="34"/>
      <c r="E82" s="18"/>
      <c r="F82" s="18"/>
      <c r="G82" s="18"/>
      <c r="H82" s="18">
        <v>60</v>
      </c>
      <c r="I82" s="19"/>
      <c r="J82" s="20">
        <f t="shared" si="4"/>
        <v>0</v>
      </c>
      <c r="K82" s="20">
        <f t="shared" si="5"/>
        <v>34747.780000000013</v>
      </c>
    </row>
    <row r="83" spans="2:12" ht="18.75" x14ac:dyDescent="0.3">
      <c r="B83" s="47">
        <v>44246</v>
      </c>
      <c r="C83" s="21" t="s">
        <v>688</v>
      </c>
      <c r="D83" s="34">
        <v>18900</v>
      </c>
      <c r="E83" s="18"/>
      <c r="F83" s="18"/>
      <c r="G83" s="18"/>
      <c r="H83" s="18"/>
      <c r="I83" s="19"/>
      <c r="J83" s="20">
        <f t="shared" si="4"/>
        <v>0</v>
      </c>
      <c r="K83" s="20">
        <f t="shared" si="5"/>
        <v>53647.780000000013</v>
      </c>
    </row>
    <row r="84" spans="2:12" ht="18.75" x14ac:dyDescent="0.3">
      <c r="B84" s="47">
        <v>44459</v>
      </c>
      <c r="C84" s="43" t="s">
        <v>696</v>
      </c>
      <c r="D84" s="34"/>
      <c r="E84" s="18"/>
      <c r="F84" s="18"/>
      <c r="G84" s="18"/>
      <c r="H84" s="18">
        <v>2150</v>
      </c>
      <c r="I84" s="19"/>
      <c r="J84" s="20">
        <f t="shared" si="4"/>
        <v>0</v>
      </c>
      <c r="K84" s="20">
        <f t="shared" si="5"/>
        <v>51497.780000000013</v>
      </c>
    </row>
    <row r="85" spans="2:12" ht="18.75" x14ac:dyDescent="0.3">
      <c r="B85" s="47">
        <v>44459</v>
      </c>
      <c r="C85" s="43" t="s">
        <v>697</v>
      </c>
      <c r="D85" s="34"/>
      <c r="E85" s="18"/>
      <c r="F85" s="18"/>
      <c r="G85" s="18"/>
      <c r="H85" s="18">
        <v>1060</v>
      </c>
      <c r="I85" s="19"/>
      <c r="J85" s="20">
        <f t="shared" si="4"/>
        <v>0</v>
      </c>
      <c r="K85" s="20">
        <f t="shared" si="5"/>
        <v>50437.780000000013</v>
      </c>
    </row>
    <row r="86" spans="2:12" ht="18.75" x14ac:dyDescent="0.3">
      <c r="B86" s="47">
        <v>44459</v>
      </c>
      <c r="C86" s="43" t="s">
        <v>684</v>
      </c>
      <c r="D86" s="34"/>
      <c r="E86" s="18"/>
      <c r="F86" s="18"/>
      <c r="G86" s="18"/>
      <c r="H86" s="18">
        <v>80</v>
      </c>
      <c r="I86" s="19"/>
      <c r="J86" s="20">
        <f t="shared" si="4"/>
        <v>0</v>
      </c>
      <c r="K86" s="20">
        <f t="shared" si="5"/>
        <v>50357.780000000013</v>
      </c>
    </row>
    <row r="87" spans="2:12" ht="18.75" x14ac:dyDescent="0.3">
      <c r="B87" s="47">
        <v>44459</v>
      </c>
      <c r="C87" s="43" t="s">
        <v>698</v>
      </c>
      <c r="D87" s="34"/>
      <c r="E87" s="18"/>
      <c r="F87" s="18"/>
      <c r="G87" s="18"/>
      <c r="H87" s="18">
        <v>80</v>
      </c>
      <c r="I87" s="19"/>
      <c r="J87" s="20">
        <f t="shared" si="4"/>
        <v>0</v>
      </c>
      <c r="K87" s="20">
        <f t="shared" si="5"/>
        <v>50277.780000000013</v>
      </c>
    </row>
    <row r="88" spans="2:12" ht="18.75" x14ac:dyDescent="0.3">
      <c r="B88" s="47">
        <v>44460</v>
      </c>
      <c r="C88" s="43" t="s">
        <v>699</v>
      </c>
      <c r="D88" s="34"/>
      <c r="E88" s="18"/>
      <c r="F88" s="18"/>
      <c r="G88" s="18"/>
      <c r="H88" s="18">
        <v>64</v>
      </c>
      <c r="I88" s="19"/>
      <c r="J88" s="20">
        <f t="shared" si="4"/>
        <v>0</v>
      </c>
      <c r="K88" s="20">
        <f t="shared" si="5"/>
        <v>50213.780000000013</v>
      </c>
    </row>
    <row r="89" spans="2:12" ht="18.75" x14ac:dyDescent="0.3">
      <c r="B89" s="47">
        <v>44460</v>
      </c>
      <c r="C89" s="43" t="s">
        <v>700</v>
      </c>
      <c r="D89" s="34"/>
      <c r="E89" s="18"/>
      <c r="F89" s="18"/>
      <c r="G89" s="18"/>
      <c r="H89" s="18">
        <v>135.96</v>
      </c>
      <c r="I89" s="19"/>
      <c r="J89" s="20">
        <f t="shared" si="4"/>
        <v>0</v>
      </c>
      <c r="K89" s="20">
        <f t="shared" si="5"/>
        <v>50077.820000000014</v>
      </c>
    </row>
    <row r="90" spans="2:12" ht="18.75" x14ac:dyDescent="0.3">
      <c r="B90" s="48">
        <v>44460</v>
      </c>
      <c r="C90" s="21" t="s">
        <v>701</v>
      </c>
      <c r="D90" s="34"/>
      <c r="E90" s="18"/>
      <c r="F90" s="18"/>
      <c r="G90" s="18"/>
      <c r="H90" s="18">
        <v>1500</v>
      </c>
      <c r="I90" s="19"/>
      <c r="J90" s="20">
        <f t="shared" si="4"/>
        <v>0</v>
      </c>
      <c r="K90" s="20">
        <f t="shared" si="5"/>
        <v>48577.820000000014</v>
      </c>
    </row>
    <row r="91" spans="2:12" ht="18.75" x14ac:dyDescent="0.3">
      <c r="B91" s="48">
        <v>44460</v>
      </c>
      <c r="C91" s="21" t="s">
        <v>702</v>
      </c>
      <c r="D91" s="34"/>
      <c r="E91" s="18"/>
      <c r="F91" s="18"/>
      <c r="G91" s="18"/>
      <c r="H91" s="18">
        <v>98.99</v>
      </c>
      <c r="I91" s="19"/>
      <c r="J91" s="20">
        <f t="shared" si="4"/>
        <v>0</v>
      </c>
      <c r="K91" s="20">
        <f t="shared" si="5"/>
        <v>48478.830000000016</v>
      </c>
    </row>
    <row r="92" spans="2:12" ht="18.75" x14ac:dyDescent="0.3">
      <c r="B92" s="48">
        <v>44460</v>
      </c>
      <c r="C92" s="17" t="s">
        <v>703</v>
      </c>
      <c r="D92" s="34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48278.830000000016</v>
      </c>
    </row>
    <row r="93" spans="2:12" ht="18.75" x14ac:dyDescent="0.3">
      <c r="B93" s="49">
        <v>44461</v>
      </c>
      <c r="C93" s="17" t="s">
        <v>673</v>
      </c>
      <c r="D93" s="50"/>
      <c r="E93" s="18"/>
      <c r="F93" s="18"/>
      <c r="G93" s="18"/>
      <c r="H93" s="18">
        <v>505</v>
      </c>
      <c r="I93" s="19"/>
      <c r="J93" s="20">
        <f t="shared" si="4"/>
        <v>0</v>
      </c>
      <c r="K93" s="20">
        <f t="shared" si="5"/>
        <v>47773.830000000016</v>
      </c>
    </row>
    <row r="94" spans="2:12" ht="18.75" x14ac:dyDescent="0.3">
      <c r="B94" s="49">
        <v>44462</v>
      </c>
      <c r="C94" s="21" t="s">
        <v>703</v>
      </c>
      <c r="D94" s="34"/>
      <c r="E94" s="18"/>
      <c r="F94" s="18"/>
      <c r="G94" s="18"/>
      <c r="H94" s="18">
        <v>200</v>
      </c>
      <c r="I94" s="19"/>
      <c r="J94" s="20">
        <f t="shared" si="4"/>
        <v>0</v>
      </c>
      <c r="K94" s="20">
        <f t="shared" si="5"/>
        <v>47573.830000000016</v>
      </c>
      <c r="L94" s="1"/>
    </row>
    <row r="95" spans="2:12" ht="18.75" x14ac:dyDescent="0.3">
      <c r="B95" s="49">
        <v>44462</v>
      </c>
      <c r="C95" s="21" t="s">
        <v>676</v>
      </c>
      <c r="D95" s="34"/>
      <c r="E95" s="18"/>
      <c r="F95" s="18"/>
      <c r="G95" s="18"/>
      <c r="H95" s="18">
        <v>100</v>
      </c>
      <c r="I95" s="19"/>
      <c r="J95" s="20">
        <f t="shared" si="4"/>
        <v>0</v>
      </c>
      <c r="K95" s="20">
        <f t="shared" si="5"/>
        <v>47473.830000000016</v>
      </c>
    </row>
    <row r="96" spans="2:12" ht="18.75" x14ac:dyDescent="0.3">
      <c r="B96" s="49">
        <v>44462</v>
      </c>
      <c r="C96" s="21" t="s">
        <v>35</v>
      </c>
      <c r="D96" s="34"/>
      <c r="E96" s="18"/>
      <c r="F96" s="18"/>
      <c r="G96" s="18"/>
      <c r="H96" s="18">
        <v>84</v>
      </c>
      <c r="I96" s="19"/>
      <c r="J96" s="20">
        <f t="shared" si="4"/>
        <v>0</v>
      </c>
      <c r="K96" s="20">
        <f t="shared" si="5"/>
        <v>47389.830000000016</v>
      </c>
    </row>
    <row r="97" spans="2:12" ht="18.75" x14ac:dyDescent="0.3">
      <c r="B97" s="49">
        <v>44465</v>
      </c>
      <c r="C97" s="21" t="s">
        <v>704</v>
      </c>
      <c r="D97" s="34"/>
      <c r="E97" s="18"/>
      <c r="F97" s="18"/>
      <c r="G97" s="18"/>
      <c r="H97" s="18">
        <v>100</v>
      </c>
      <c r="I97" s="19"/>
      <c r="J97" s="20">
        <f t="shared" ref="J97:J103" si="6">+J96+E97-G97</f>
        <v>0</v>
      </c>
      <c r="K97" s="20">
        <f t="shared" ref="K97:K103" si="7">+K96+D97-H97</f>
        <v>47289.830000000016</v>
      </c>
    </row>
    <row r="98" spans="2:12" ht="18.75" x14ac:dyDescent="0.3">
      <c r="B98" s="49">
        <v>44465</v>
      </c>
      <c r="C98" s="21" t="s">
        <v>705</v>
      </c>
      <c r="D98" s="34"/>
      <c r="E98" s="18"/>
      <c r="F98" s="18"/>
      <c r="G98" s="18"/>
      <c r="H98" s="18">
        <v>200</v>
      </c>
      <c r="I98" s="19"/>
      <c r="J98" s="20">
        <f t="shared" si="6"/>
        <v>0</v>
      </c>
      <c r="K98" s="20">
        <f t="shared" si="7"/>
        <v>47089.830000000016</v>
      </c>
    </row>
    <row r="99" spans="2:12" ht="18.75" x14ac:dyDescent="0.3">
      <c r="B99" s="49">
        <v>44465</v>
      </c>
      <c r="C99" s="21" t="s">
        <v>569</v>
      </c>
      <c r="D99" s="34"/>
      <c r="E99" s="18"/>
      <c r="F99" s="18"/>
      <c r="G99" s="18"/>
      <c r="H99" s="18">
        <v>150</v>
      </c>
      <c r="I99" s="19"/>
      <c r="J99" s="20">
        <f t="shared" si="6"/>
        <v>0</v>
      </c>
      <c r="K99" s="20">
        <f t="shared" si="7"/>
        <v>46939.830000000016</v>
      </c>
    </row>
    <row r="100" spans="2:12" ht="18.75" x14ac:dyDescent="0.3">
      <c r="B100" s="49">
        <v>44465</v>
      </c>
      <c r="C100" s="21" t="s">
        <v>706</v>
      </c>
      <c r="D100" s="34">
        <v>24175</v>
      </c>
      <c r="E100" s="18"/>
      <c r="F100" s="18"/>
      <c r="G100" s="18"/>
      <c r="H100" s="18"/>
      <c r="I100" s="19"/>
      <c r="J100" s="20">
        <f t="shared" si="6"/>
        <v>0</v>
      </c>
      <c r="K100" s="20">
        <f t="shared" si="7"/>
        <v>71114.830000000016</v>
      </c>
    </row>
    <row r="101" spans="2:12" ht="18.75" x14ac:dyDescent="0.3">
      <c r="B101" s="49">
        <v>44466</v>
      </c>
      <c r="C101" s="21" t="s">
        <v>682</v>
      </c>
      <c r="D101" s="34"/>
      <c r="E101" s="18"/>
      <c r="F101" s="18"/>
      <c r="G101" s="18"/>
      <c r="H101" s="18">
        <v>196.9</v>
      </c>
      <c r="I101" s="19"/>
      <c r="J101" s="20">
        <f t="shared" si="6"/>
        <v>0</v>
      </c>
      <c r="K101" s="20">
        <f t="shared" si="7"/>
        <v>70917.930000000022</v>
      </c>
    </row>
    <row r="102" spans="2:12" ht="18.75" x14ac:dyDescent="0.3">
      <c r="B102" s="49">
        <v>44466</v>
      </c>
      <c r="C102" s="21" t="s">
        <v>707</v>
      </c>
      <c r="D102" s="34"/>
      <c r="E102" s="18"/>
      <c r="F102" s="18"/>
      <c r="G102" s="18"/>
      <c r="H102" s="18">
        <v>84</v>
      </c>
      <c r="I102" s="19"/>
      <c r="J102" s="20">
        <f t="shared" si="6"/>
        <v>0</v>
      </c>
      <c r="K102" s="20">
        <f t="shared" si="7"/>
        <v>70833.930000000022</v>
      </c>
    </row>
    <row r="103" spans="2:12" ht="19.5" thickBot="1" x14ac:dyDescent="0.35">
      <c r="B103" s="49">
        <v>44466</v>
      </c>
      <c r="C103" s="21" t="s">
        <v>708</v>
      </c>
      <c r="D103" s="34"/>
      <c r="E103" s="18"/>
      <c r="F103" s="18"/>
      <c r="G103" s="18"/>
      <c r="H103" s="18">
        <v>300</v>
      </c>
      <c r="I103" s="19"/>
      <c r="J103" s="20">
        <f t="shared" si="6"/>
        <v>0</v>
      </c>
      <c r="K103" s="20">
        <f t="shared" si="7"/>
        <v>70533.930000000022</v>
      </c>
    </row>
    <row r="104" spans="2:12" ht="19.5" thickBot="1" x14ac:dyDescent="0.35">
      <c r="B104" s="25"/>
      <c r="C104" s="26" t="s">
        <v>0</v>
      </c>
      <c r="D104" s="27">
        <f>SUM(D55:D103)</f>
        <v>111000</v>
      </c>
      <c r="E104" s="28">
        <f>SUM(E55:E103)</f>
        <v>0</v>
      </c>
      <c r="F104" s="29">
        <f>SUM(D104:E104)</f>
        <v>111000</v>
      </c>
      <c r="G104" s="30">
        <f>SUM(G55:G103)</f>
        <v>0</v>
      </c>
      <c r="H104" s="27">
        <f>SUM(H55:H103)</f>
        <v>92486.88</v>
      </c>
      <c r="I104" s="29">
        <f>SUM(G104:H104)</f>
        <v>92486.88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>
        <v>111000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111000</v>
      </c>
      <c r="E107" s="28">
        <v>0</v>
      </c>
      <c r="F107" s="29">
        <f>SUM(D107:E107)</f>
        <v>111000</v>
      </c>
      <c r="G107" s="30">
        <v>0</v>
      </c>
      <c r="H107" s="27">
        <v>92486.88</v>
      </c>
      <c r="I107" s="29">
        <f>SUM(G107:H107)</f>
        <v>92486.88</v>
      </c>
      <c r="J107" s="53">
        <v>0</v>
      </c>
      <c r="K107" s="53">
        <v>0</v>
      </c>
      <c r="L107" s="3"/>
    </row>
    <row r="108" spans="2:12" ht="18.75" x14ac:dyDescent="0.3">
      <c r="B108" s="49">
        <v>44466</v>
      </c>
      <c r="C108" s="21" t="s">
        <v>709</v>
      </c>
      <c r="D108" s="34"/>
      <c r="E108" s="18"/>
      <c r="F108" s="34"/>
      <c r="G108" s="18"/>
      <c r="H108" s="18">
        <v>1050</v>
      </c>
      <c r="I108" s="19"/>
      <c r="J108" s="20">
        <f>+J107+E108-G108</f>
        <v>0</v>
      </c>
      <c r="K108" s="20">
        <f>+K103+D108-H108</f>
        <v>69483.930000000022</v>
      </c>
    </row>
    <row r="109" spans="2:12" ht="18.75" x14ac:dyDescent="0.3">
      <c r="B109" s="49">
        <v>44466</v>
      </c>
      <c r="C109" s="21" t="s">
        <v>710</v>
      </c>
      <c r="D109" s="34"/>
      <c r="E109" s="18"/>
      <c r="F109" s="34"/>
      <c r="G109" s="18"/>
      <c r="H109" s="18">
        <v>1150</v>
      </c>
      <c r="I109" s="19"/>
      <c r="J109" s="20">
        <f t="shared" ref="J109" si="8">+J108+E109-G109</f>
        <v>0</v>
      </c>
      <c r="K109" s="20">
        <f>+K108+D109-H109</f>
        <v>68333.930000000022</v>
      </c>
    </row>
    <row r="110" spans="2:12" ht="18.75" x14ac:dyDescent="0.3">
      <c r="B110" s="49">
        <v>44466</v>
      </c>
      <c r="C110" s="21" t="s">
        <v>682</v>
      </c>
      <c r="D110" s="34"/>
      <c r="E110" s="18"/>
      <c r="F110" s="34"/>
      <c r="G110" s="18"/>
      <c r="H110" s="18">
        <v>300</v>
      </c>
      <c r="I110" s="19"/>
      <c r="J110" s="20">
        <f t="shared" ref="J110:J113" si="9">+J109+E110-G110</f>
        <v>0</v>
      </c>
      <c r="K110" s="20">
        <f t="shared" ref="K110:K113" si="10">+K109+D110-H110</f>
        <v>68033.930000000022</v>
      </c>
    </row>
    <row r="111" spans="2:12" ht="18.75" x14ac:dyDescent="0.3">
      <c r="B111" s="49">
        <v>44466</v>
      </c>
      <c r="C111" s="21" t="s">
        <v>712</v>
      </c>
      <c r="D111" s="34"/>
      <c r="E111" s="18"/>
      <c r="F111" s="34"/>
      <c r="G111" s="18"/>
      <c r="H111" s="18">
        <v>44.9</v>
      </c>
      <c r="I111" s="19"/>
      <c r="J111" s="20">
        <f t="shared" si="9"/>
        <v>0</v>
      </c>
      <c r="K111" s="20">
        <f t="shared" si="10"/>
        <v>67989.030000000028</v>
      </c>
    </row>
    <row r="112" spans="2:12" ht="18.75" x14ac:dyDescent="0.3">
      <c r="B112" s="49">
        <v>44467</v>
      </c>
      <c r="C112" s="21" t="s">
        <v>713</v>
      </c>
      <c r="D112" s="34"/>
      <c r="E112" s="18"/>
      <c r="F112" s="34"/>
      <c r="G112" s="18"/>
      <c r="H112" s="18">
        <v>124</v>
      </c>
      <c r="I112" s="19"/>
      <c r="J112" s="20">
        <f t="shared" si="9"/>
        <v>0</v>
      </c>
      <c r="K112" s="20">
        <f t="shared" si="10"/>
        <v>67865.030000000028</v>
      </c>
    </row>
    <row r="113" spans="2:13" ht="18.75" x14ac:dyDescent="0.3">
      <c r="B113" s="49">
        <v>44468</v>
      </c>
      <c r="C113" s="21" t="s">
        <v>714</v>
      </c>
      <c r="D113" s="34"/>
      <c r="E113" s="18"/>
      <c r="F113" s="34"/>
      <c r="G113" s="18"/>
      <c r="H113" s="18">
        <v>39</v>
      </c>
      <c r="I113" s="19"/>
      <c r="J113" s="20">
        <f t="shared" si="9"/>
        <v>0</v>
      </c>
      <c r="K113" s="20">
        <f t="shared" si="10"/>
        <v>67826.030000000028</v>
      </c>
    </row>
    <row r="114" spans="2:13" ht="18.75" x14ac:dyDescent="0.3">
      <c r="B114" s="49">
        <v>44468</v>
      </c>
      <c r="C114" s="21" t="s">
        <v>721</v>
      </c>
      <c r="D114" s="34"/>
      <c r="E114" s="18"/>
      <c r="F114" s="34"/>
      <c r="G114" s="18"/>
      <c r="H114" s="18">
        <v>17.010000000000002</v>
      </c>
      <c r="I114" s="19"/>
      <c r="J114" s="20">
        <f t="shared" ref="J114:J129" si="11">+J113+E114-G114</f>
        <v>0</v>
      </c>
      <c r="K114" s="20">
        <f t="shared" ref="K114:K129" si="12">+K113+D114-H114</f>
        <v>67809.020000000033</v>
      </c>
    </row>
    <row r="115" spans="2:13" ht="18.75" x14ac:dyDescent="0.3">
      <c r="B115" s="49">
        <v>44468</v>
      </c>
      <c r="C115" s="21" t="s">
        <v>601</v>
      </c>
      <c r="D115" s="34"/>
      <c r="E115" s="18"/>
      <c r="F115" s="34"/>
      <c r="G115" s="18"/>
      <c r="H115" s="18">
        <v>120</v>
      </c>
      <c r="I115" s="19"/>
      <c r="J115" s="20">
        <f t="shared" si="11"/>
        <v>0</v>
      </c>
      <c r="K115" s="20">
        <f t="shared" si="12"/>
        <v>67689.020000000033</v>
      </c>
    </row>
    <row r="116" spans="2:13" ht="18.75" x14ac:dyDescent="0.3">
      <c r="B116" s="49">
        <v>44468</v>
      </c>
      <c r="C116" s="21" t="s">
        <v>717</v>
      </c>
      <c r="D116" s="34"/>
      <c r="E116" s="18"/>
      <c r="F116" s="34"/>
      <c r="G116" s="18"/>
      <c r="H116" s="18">
        <v>1000</v>
      </c>
      <c r="I116" s="19"/>
      <c r="J116" s="20">
        <f t="shared" si="11"/>
        <v>0</v>
      </c>
      <c r="K116" s="20">
        <f t="shared" si="12"/>
        <v>66689.020000000033</v>
      </c>
    </row>
    <row r="117" spans="2:13" ht="18.75" x14ac:dyDescent="0.3">
      <c r="B117" s="49">
        <v>37164</v>
      </c>
      <c r="C117" s="21" t="s">
        <v>718</v>
      </c>
      <c r="D117" s="34"/>
      <c r="E117" s="18"/>
      <c r="F117" s="34"/>
      <c r="G117" s="18"/>
      <c r="H117" s="18">
        <v>430</v>
      </c>
      <c r="I117" s="19"/>
      <c r="J117" s="20">
        <f t="shared" si="11"/>
        <v>0</v>
      </c>
      <c r="K117" s="20">
        <f t="shared" si="12"/>
        <v>66259.020000000033</v>
      </c>
    </row>
    <row r="118" spans="2:13" ht="18.75" x14ac:dyDescent="0.3">
      <c r="B118" s="49">
        <v>44469</v>
      </c>
      <c r="C118" s="21" t="s">
        <v>715</v>
      </c>
      <c r="D118" s="34"/>
      <c r="E118" s="18"/>
      <c r="F118" s="34"/>
      <c r="G118" s="18"/>
      <c r="H118" s="18">
        <v>16</v>
      </c>
      <c r="I118" s="19"/>
      <c r="J118" s="20">
        <f t="shared" si="11"/>
        <v>0</v>
      </c>
      <c r="K118" s="20">
        <f t="shared" si="12"/>
        <v>66243.020000000033</v>
      </c>
    </row>
    <row r="119" spans="2:13" ht="18.75" x14ac:dyDescent="0.3">
      <c r="B119" s="49">
        <v>37164</v>
      </c>
      <c r="C119" s="21" t="s">
        <v>716</v>
      </c>
      <c r="D119" s="34"/>
      <c r="E119" s="18"/>
      <c r="F119" s="34"/>
      <c r="G119" s="18"/>
      <c r="H119" s="18">
        <v>800</v>
      </c>
      <c r="I119" s="19"/>
      <c r="J119" s="20">
        <f t="shared" si="11"/>
        <v>0</v>
      </c>
      <c r="K119" s="20">
        <f t="shared" si="12"/>
        <v>65443.020000000033</v>
      </c>
    </row>
    <row r="120" spans="2:13" ht="18.75" x14ac:dyDescent="0.3">
      <c r="B120" s="49">
        <v>44469</v>
      </c>
      <c r="C120" s="21" t="s">
        <v>720</v>
      </c>
      <c r="D120" s="34">
        <v>3250</v>
      </c>
      <c r="E120" s="18"/>
      <c r="F120" s="34"/>
      <c r="G120" s="18"/>
      <c r="H120" s="18"/>
      <c r="I120" s="19"/>
      <c r="J120" s="20">
        <f t="shared" si="11"/>
        <v>0</v>
      </c>
      <c r="K120" s="20">
        <f t="shared" si="12"/>
        <v>68693.020000000033</v>
      </c>
    </row>
    <row r="121" spans="2:13" ht="18.75" x14ac:dyDescent="0.3">
      <c r="B121" s="49">
        <v>44469</v>
      </c>
      <c r="C121" s="21" t="s">
        <v>184</v>
      </c>
      <c r="D121" s="34"/>
      <c r="E121" s="34"/>
      <c r="F121" s="34"/>
      <c r="G121" s="18"/>
      <c r="H121" s="18">
        <v>250</v>
      </c>
      <c r="I121" s="19"/>
      <c r="J121" s="20">
        <f t="shared" si="11"/>
        <v>0</v>
      </c>
      <c r="K121" s="20">
        <f t="shared" si="12"/>
        <v>68443.020000000033</v>
      </c>
    </row>
    <row r="122" spans="2:13" ht="18.75" x14ac:dyDescent="0.3">
      <c r="B122" s="49">
        <v>44469</v>
      </c>
      <c r="C122" s="21" t="s">
        <v>711</v>
      </c>
      <c r="D122" s="34"/>
      <c r="E122" s="34"/>
      <c r="F122" s="34"/>
      <c r="G122" s="18"/>
      <c r="H122" s="18">
        <v>300</v>
      </c>
      <c r="I122" s="19"/>
      <c r="J122" s="20">
        <f t="shared" si="11"/>
        <v>0</v>
      </c>
      <c r="K122" s="20">
        <f t="shared" si="12"/>
        <v>68143.020000000033</v>
      </c>
    </row>
    <row r="123" spans="2:13" ht="18.75" x14ac:dyDescent="0.3">
      <c r="B123" s="49">
        <v>44469</v>
      </c>
      <c r="C123" s="21" t="s">
        <v>186</v>
      </c>
      <c r="D123" s="34"/>
      <c r="E123" s="34"/>
      <c r="F123" s="34"/>
      <c r="G123" s="18"/>
      <c r="H123" s="18">
        <v>650</v>
      </c>
      <c r="I123" s="19"/>
      <c r="J123" s="20">
        <f t="shared" si="11"/>
        <v>0</v>
      </c>
      <c r="K123" s="20">
        <f t="shared" si="12"/>
        <v>67493.020000000033</v>
      </c>
    </row>
    <row r="124" spans="2:13" ht="18.75" x14ac:dyDescent="0.3">
      <c r="B124" s="49">
        <v>44469</v>
      </c>
      <c r="C124" s="21" t="s">
        <v>80</v>
      </c>
      <c r="D124" s="34"/>
      <c r="E124" s="34"/>
      <c r="F124" s="34"/>
      <c r="G124" s="18"/>
      <c r="H124" s="18">
        <v>3400</v>
      </c>
      <c r="I124" s="19"/>
      <c r="J124" s="20">
        <f t="shared" si="11"/>
        <v>0</v>
      </c>
      <c r="K124" s="20">
        <f t="shared" si="12"/>
        <v>64093.020000000033</v>
      </c>
      <c r="M124">
        <v>250</v>
      </c>
    </row>
    <row r="125" spans="2:13" ht="18.75" x14ac:dyDescent="0.3">
      <c r="B125" s="49">
        <v>44469</v>
      </c>
      <c r="C125" s="24" t="s">
        <v>776</v>
      </c>
      <c r="D125" s="34">
        <v>9000</v>
      </c>
      <c r="E125" s="34"/>
      <c r="F125" s="34"/>
      <c r="G125" s="18"/>
      <c r="H125" s="18"/>
      <c r="I125" s="19"/>
      <c r="J125" s="20">
        <f t="shared" si="11"/>
        <v>0</v>
      </c>
      <c r="K125" s="20">
        <f t="shared" si="12"/>
        <v>73093.020000000033</v>
      </c>
      <c r="M125">
        <v>300</v>
      </c>
    </row>
    <row r="126" spans="2:13" ht="18.75" x14ac:dyDescent="0.3">
      <c r="B126" s="49">
        <v>44469</v>
      </c>
      <c r="C126" s="24" t="s">
        <v>88</v>
      </c>
      <c r="D126" s="34"/>
      <c r="E126" s="18"/>
      <c r="F126" s="18"/>
      <c r="G126" s="18"/>
      <c r="H126" s="18">
        <v>9000</v>
      </c>
      <c r="I126" s="19"/>
      <c r="J126" s="20">
        <f t="shared" si="11"/>
        <v>0</v>
      </c>
      <c r="K126" s="20">
        <f t="shared" si="12"/>
        <v>64093.020000000033</v>
      </c>
    </row>
    <row r="127" spans="2:13" ht="18.75" x14ac:dyDescent="0.3">
      <c r="B127" s="49">
        <v>44469</v>
      </c>
      <c r="C127" s="24" t="s">
        <v>89</v>
      </c>
      <c r="D127" s="34"/>
      <c r="E127" s="18"/>
      <c r="F127" s="18"/>
      <c r="G127" s="18"/>
      <c r="H127" s="18">
        <v>33800</v>
      </c>
      <c r="I127" s="19"/>
      <c r="J127" s="20">
        <f t="shared" si="11"/>
        <v>0</v>
      </c>
      <c r="K127" s="20">
        <f t="shared" si="12"/>
        <v>30293.020000000033</v>
      </c>
    </row>
    <row r="128" spans="2:13" ht="18.75" x14ac:dyDescent="0.3">
      <c r="B128" s="49">
        <v>44469</v>
      </c>
      <c r="C128" s="43" t="s">
        <v>84</v>
      </c>
      <c r="D128" s="34"/>
      <c r="E128" s="18"/>
      <c r="F128" s="18"/>
      <c r="G128" s="18"/>
      <c r="H128" s="18">
        <v>5700</v>
      </c>
      <c r="I128" s="19"/>
      <c r="J128" s="20">
        <f t="shared" si="11"/>
        <v>0</v>
      </c>
      <c r="K128" s="20">
        <f t="shared" si="12"/>
        <v>24593.020000000033</v>
      </c>
      <c r="L128">
        <v>9000</v>
      </c>
    </row>
    <row r="129" spans="2:13" ht="19.5" thickBot="1" x14ac:dyDescent="0.35">
      <c r="B129" s="49"/>
      <c r="C129" s="24"/>
      <c r="D129" s="34"/>
      <c r="E129" s="18"/>
      <c r="F129" s="18"/>
      <c r="G129" s="18"/>
      <c r="H129" s="18"/>
      <c r="I129" s="19"/>
      <c r="J129" s="20">
        <f t="shared" si="11"/>
        <v>0</v>
      </c>
      <c r="K129" s="20">
        <f t="shared" si="12"/>
        <v>24593.020000000033</v>
      </c>
      <c r="M129">
        <v>9000</v>
      </c>
    </row>
    <row r="130" spans="2:13" ht="19.5" thickBot="1" x14ac:dyDescent="0.35">
      <c r="B130" s="25"/>
      <c r="C130" s="26" t="s">
        <v>0</v>
      </c>
      <c r="D130" s="27">
        <f>SUM(D107:D129)</f>
        <v>123250</v>
      </c>
      <c r="E130" s="28">
        <f>SUM(E107:E129)</f>
        <v>0</v>
      </c>
      <c r="F130" s="29">
        <f>SUM(D130:E130)</f>
        <v>123250</v>
      </c>
      <c r="G130" s="30">
        <f>SUM(G64:G128)</f>
        <v>0</v>
      </c>
      <c r="H130" s="27">
        <f>SUM(H107:H129)</f>
        <v>150677.78999999998</v>
      </c>
      <c r="I130" s="29">
        <f>SUM(G130:H130)</f>
        <v>150677.78999999998</v>
      </c>
      <c r="J130" s="31"/>
      <c r="K130" s="31"/>
      <c r="L130" s="1"/>
    </row>
    <row r="131" spans="2:13" ht="19.5" thickBot="1" x14ac:dyDescent="0.3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"/>
    </row>
    <row r="132" spans="2:13" ht="19.5" thickBot="1" x14ac:dyDescent="0.35">
      <c r="B132" s="5"/>
      <c r="C132" s="5"/>
      <c r="D132" s="5"/>
      <c r="E132" s="5"/>
      <c r="F132" s="5"/>
      <c r="G132" s="5"/>
      <c r="H132" s="5"/>
      <c r="I132" s="35" t="s">
        <v>7</v>
      </c>
      <c r="J132" s="35" t="s">
        <v>6</v>
      </c>
      <c r="K132" s="36" t="s">
        <v>0</v>
      </c>
      <c r="L132" s="1"/>
    </row>
    <row r="133" spans="2:13" ht="19.5" thickBot="1" x14ac:dyDescent="0.35">
      <c r="B133" s="5"/>
      <c r="C133" s="5"/>
      <c r="D133" s="5"/>
      <c r="E133" s="5"/>
      <c r="F133" s="5"/>
      <c r="G133" s="5"/>
      <c r="H133" s="5"/>
      <c r="I133" s="37">
        <v>0</v>
      </c>
      <c r="J133" s="37">
        <v>24593.02</v>
      </c>
      <c r="K133" s="31">
        <f>SUM(I133:J133)</f>
        <v>24593.02</v>
      </c>
      <c r="L133" s="1"/>
    </row>
    <row r="135" spans="2:13" x14ac:dyDescent="0.25">
      <c r="K135">
        <v>21483.93</v>
      </c>
      <c r="L135" s="101">
        <v>1500</v>
      </c>
      <c r="M135" s="101">
        <v>22683.93</v>
      </c>
    </row>
    <row r="136" spans="2:13" x14ac:dyDescent="0.25">
      <c r="K136">
        <v>5000</v>
      </c>
    </row>
    <row r="137" spans="2:13" x14ac:dyDescent="0.25">
      <c r="K137">
        <v>16483.93</v>
      </c>
    </row>
    <row r="138" spans="2:13" x14ac:dyDescent="0.25">
      <c r="K138">
        <v>9000</v>
      </c>
    </row>
    <row r="139" spans="2:13" x14ac:dyDescent="0.25">
      <c r="K139">
        <v>7483.93</v>
      </c>
    </row>
    <row r="140" spans="2:13" x14ac:dyDescent="0.25">
      <c r="K140">
        <v>3400</v>
      </c>
    </row>
    <row r="141" spans="2:13" x14ac:dyDescent="0.25">
      <c r="K141">
        <v>4083.93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M137"/>
  <sheetViews>
    <sheetView zoomScale="80" zoomScaleNormal="80" workbookViewId="0">
      <pane ySplit="3" topLeftCell="A18" activePane="bottomLeft" state="frozen"/>
      <selection activeCell="B1" sqref="B1"/>
      <selection pane="bottomLeft" activeCell="B34" sqref="B34:H35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2.7109375" bestFit="1" customWidth="1"/>
  </cols>
  <sheetData>
    <row r="1" spans="2:11" ht="19.5" thickBot="1" x14ac:dyDescent="0.35">
      <c r="B1" s="39"/>
      <c r="C1" s="6" t="s">
        <v>28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44469</v>
      </c>
      <c r="C4" s="12" t="s">
        <v>29</v>
      </c>
      <c r="D4" s="13"/>
      <c r="E4" s="14"/>
      <c r="F4" s="14"/>
      <c r="G4" s="14"/>
      <c r="H4" s="15"/>
      <c r="I4" s="16"/>
      <c r="J4" s="53">
        <v>0</v>
      </c>
      <c r="K4" s="53">
        <v>24593.02</v>
      </c>
    </row>
    <row r="5" spans="2:11" ht="18.75" x14ac:dyDescent="0.3">
      <c r="B5" s="11">
        <v>44470</v>
      </c>
      <c r="C5" s="40" t="s">
        <v>642</v>
      </c>
      <c r="D5" s="13"/>
      <c r="E5" s="14"/>
      <c r="F5" s="14"/>
      <c r="G5" s="14"/>
      <c r="H5" s="15">
        <v>54.9</v>
      </c>
      <c r="I5" s="16"/>
      <c r="J5" s="20">
        <f>+J4+E5-G5</f>
        <v>0</v>
      </c>
      <c r="K5" s="20">
        <f>+K4+D5-H5</f>
        <v>24538.12</v>
      </c>
    </row>
    <row r="6" spans="2:11" ht="18.75" x14ac:dyDescent="0.3">
      <c r="B6" s="11">
        <v>44440</v>
      </c>
      <c r="C6" s="17" t="s">
        <v>719</v>
      </c>
      <c r="D6" s="34"/>
      <c r="E6" s="18"/>
      <c r="F6" s="18"/>
      <c r="G6" s="18"/>
      <c r="H6" s="18">
        <v>141</v>
      </c>
      <c r="I6" s="19"/>
      <c r="J6" s="20">
        <f t="shared" ref="J6:J51" si="0">+J5+E6-G6</f>
        <v>0</v>
      </c>
      <c r="K6" s="20">
        <f t="shared" ref="K6:K51" si="1">+K5+D6-H6</f>
        <v>24397.119999999999</v>
      </c>
    </row>
    <row r="7" spans="2:11" ht="18.75" x14ac:dyDescent="0.3">
      <c r="B7" s="22">
        <v>44470</v>
      </c>
      <c r="C7" s="21" t="s">
        <v>723</v>
      </c>
      <c r="D7" s="34"/>
      <c r="E7" s="18"/>
      <c r="F7" s="18"/>
      <c r="G7" s="18"/>
      <c r="H7" s="18">
        <v>100</v>
      </c>
      <c r="I7" s="19"/>
      <c r="J7" s="20">
        <f t="shared" si="0"/>
        <v>0</v>
      </c>
      <c r="K7" s="20">
        <f t="shared" si="1"/>
        <v>24297.119999999999</v>
      </c>
    </row>
    <row r="8" spans="2:11" ht="18.75" x14ac:dyDescent="0.3">
      <c r="B8" s="22">
        <v>44471</v>
      </c>
      <c r="C8" s="41" t="s">
        <v>300</v>
      </c>
      <c r="D8" s="34"/>
      <c r="E8" s="18"/>
      <c r="F8" s="18"/>
      <c r="G8" s="18"/>
      <c r="H8" s="18">
        <v>48</v>
      </c>
      <c r="I8" s="19"/>
      <c r="J8" s="20">
        <f t="shared" si="0"/>
        <v>0</v>
      </c>
      <c r="K8" s="20">
        <f t="shared" si="1"/>
        <v>24249.119999999999</v>
      </c>
    </row>
    <row r="9" spans="2:11" ht="18.75" x14ac:dyDescent="0.3">
      <c r="B9" s="22">
        <v>44471</v>
      </c>
      <c r="C9" s="21" t="s">
        <v>724</v>
      </c>
      <c r="D9" s="34"/>
      <c r="E9" s="18"/>
      <c r="F9" s="18"/>
      <c r="G9" s="18"/>
      <c r="H9" s="18">
        <v>5600</v>
      </c>
      <c r="I9" s="19"/>
      <c r="J9" s="20">
        <f t="shared" si="0"/>
        <v>0</v>
      </c>
      <c r="K9" s="20">
        <f t="shared" si="1"/>
        <v>18649.12</v>
      </c>
    </row>
    <row r="10" spans="2:11" ht="18.75" x14ac:dyDescent="0.3">
      <c r="B10" s="22">
        <v>44471</v>
      </c>
      <c r="C10" s="21" t="s">
        <v>725</v>
      </c>
      <c r="D10" s="34"/>
      <c r="E10" s="18"/>
      <c r="F10" s="18"/>
      <c r="G10" s="18"/>
      <c r="H10" s="18">
        <v>300</v>
      </c>
      <c r="I10" s="19"/>
      <c r="J10" s="20">
        <f t="shared" si="0"/>
        <v>0</v>
      </c>
      <c r="K10" s="20">
        <f t="shared" si="1"/>
        <v>18349.12</v>
      </c>
    </row>
    <row r="11" spans="2:11" ht="18.75" x14ac:dyDescent="0.3">
      <c r="B11" s="22">
        <v>44472</v>
      </c>
      <c r="C11" s="41" t="s">
        <v>464</v>
      </c>
      <c r="D11" s="34"/>
      <c r="E11" s="18"/>
      <c r="F11" s="18"/>
      <c r="G11" s="18"/>
      <c r="H11" s="18">
        <v>100</v>
      </c>
      <c r="I11" s="19"/>
      <c r="J11" s="20">
        <f t="shared" si="0"/>
        <v>0</v>
      </c>
      <c r="K11" s="20">
        <f t="shared" si="1"/>
        <v>18249.12</v>
      </c>
    </row>
    <row r="12" spans="2:11" ht="18.75" x14ac:dyDescent="0.3">
      <c r="B12" s="22">
        <v>44472</v>
      </c>
      <c r="C12" s="24" t="s">
        <v>153</v>
      </c>
      <c r="D12" s="34"/>
      <c r="E12" s="18"/>
      <c r="F12" s="18"/>
      <c r="G12" s="18"/>
      <c r="H12" s="18">
        <v>200</v>
      </c>
      <c r="I12" s="19"/>
      <c r="J12" s="20">
        <f t="shared" si="0"/>
        <v>0</v>
      </c>
      <c r="K12" s="20">
        <f t="shared" si="1"/>
        <v>18049.12</v>
      </c>
    </row>
    <row r="13" spans="2:11" ht="18.75" x14ac:dyDescent="0.3">
      <c r="B13" s="22">
        <v>44472</v>
      </c>
      <c r="C13" s="21" t="s">
        <v>484</v>
      </c>
      <c r="D13" s="34"/>
      <c r="E13" s="18"/>
      <c r="F13" s="18"/>
      <c r="G13" s="18"/>
      <c r="H13" s="18">
        <v>150</v>
      </c>
      <c r="I13" s="19"/>
      <c r="J13" s="20">
        <f t="shared" si="0"/>
        <v>0</v>
      </c>
      <c r="K13" s="20">
        <f t="shared" si="1"/>
        <v>17899.12</v>
      </c>
    </row>
    <row r="14" spans="2:11" ht="18.75" x14ac:dyDescent="0.3">
      <c r="B14" s="22">
        <v>44472</v>
      </c>
      <c r="C14" s="21" t="s">
        <v>174</v>
      </c>
      <c r="D14" s="34"/>
      <c r="E14" s="18"/>
      <c r="F14" s="18"/>
      <c r="G14" s="18"/>
      <c r="H14" s="18">
        <v>300</v>
      </c>
      <c r="I14" s="19"/>
      <c r="J14" s="20">
        <f t="shared" si="0"/>
        <v>0</v>
      </c>
      <c r="K14" s="20">
        <f t="shared" si="1"/>
        <v>17599.12</v>
      </c>
    </row>
    <row r="15" spans="2:11" ht="18.75" x14ac:dyDescent="0.3">
      <c r="B15" s="22">
        <v>44472</v>
      </c>
      <c r="C15" s="21" t="s">
        <v>300</v>
      </c>
      <c r="D15" s="34"/>
      <c r="E15" s="18"/>
      <c r="F15" s="18"/>
      <c r="G15" s="18"/>
      <c r="H15" s="18">
        <v>37.5</v>
      </c>
      <c r="I15" s="19"/>
      <c r="J15" s="20">
        <f t="shared" si="0"/>
        <v>0</v>
      </c>
      <c r="K15" s="20">
        <f t="shared" si="1"/>
        <v>17561.62</v>
      </c>
    </row>
    <row r="16" spans="2:11" ht="18.75" x14ac:dyDescent="0.3">
      <c r="B16" s="22">
        <v>44472</v>
      </c>
      <c r="C16" s="41" t="s">
        <v>43</v>
      </c>
      <c r="D16" s="34">
        <v>46225</v>
      </c>
      <c r="E16" s="18"/>
      <c r="F16" s="18"/>
      <c r="G16" s="18"/>
      <c r="H16" s="18"/>
      <c r="I16" s="19"/>
      <c r="J16" s="20">
        <f t="shared" si="0"/>
        <v>0</v>
      </c>
      <c r="K16" s="20">
        <f t="shared" si="1"/>
        <v>63786.619999999995</v>
      </c>
    </row>
    <row r="17" spans="2:13" ht="18.75" x14ac:dyDescent="0.3">
      <c r="B17" s="22">
        <v>44473</v>
      </c>
      <c r="C17" s="21" t="s">
        <v>35</v>
      </c>
      <c r="D17" s="34"/>
      <c r="E17" s="18"/>
      <c r="F17" s="18"/>
      <c r="G17" s="18"/>
      <c r="H17" s="18">
        <v>84</v>
      </c>
      <c r="I17" s="19"/>
      <c r="J17" s="20">
        <f t="shared" si="0"/>
        <v>0</v>
      </c>
      <c r="K17" s="20">
        <f t="shared" si="1"/>
        <v>63702.619999999995</v>
      </c>
    </row>
    <row r="18" spans="2:13" ht="18.75" x14ac:dyDescent="0.3">
      <c r="B18" s="22">
        <v>44474</v>
      </c>
      <c r="C18" s="21" t="s">
        <v>726</v>
      </c>
      <c r="D18" s="34"/>
      <c r="E18" s="18"/>
      <c r="F18" s="18"/>
      <c r="G18" s="18"/>
      <c r="H18" s="18">
        <v>100</v>
      </c>
      <c r="I18" s="19"/>
      <c r="J18" s="20">
        <f t="shared" si="0"/>
        <v>0</v>
      </c>
      <c r="K18" s="20">
        <f t="shared" si="1"/>
        <v>63602.619999999995</v>
      </c>
    </row>
    <row r="19" spans="2:13" ht="18.75" x14ac:dyDescent="0.3">
      <c r="B19" s="22">
        <v>44474</v>
      </c>
      <c r="C19" s="21" t="s">
        <v>300</v>
      </c>
      <c r="D19" s="34"/>
      <c r="E19" s="18"/>
      <c r="F19" s="18"/>
      <c r="G19" s="18"/>
      <c r="H19" s="18">
        <v>44.5</v>
      </c>
      <c r="I19" s="19"/>
      <c r="J19" s="20">
        <f t="shared" si="0"/>
        <v>0</v>
      </c>
      <c r="K19" s="20">
        <f t="shared" si="1"/>
        <v>63558.119999999995</v>
      </c>
    </row>
    <row r="20" spans="2:13" ht="18.75" x14ac:dyDescent="0.3">
      <c r="B20" s="22">
        <v>44474</v>
      </c>
      <c r="C20" s="21" t="s">
        <v>642</v>
      </c>
      <c r="D20" s="34"/>
      <c r="E20" s="18"/>
      <c r="F20" s="18"/>
      <c r="G20" s="18"/>
      <c r="H20" s="18">
        <v>509.2</v>
      </c>
      <c r="I20" s="19"/>
      <c r="J20" s="20">
        <f t="shared" si="0"/>
        <v>0</v>
      </c>
      <c r="K20" s="20">
        <f t="shared" si="1"/>
        <v>63048.92</v>
      </c>
    </row>
    <row r="21" spans="2:13" ht="18.75" x14ac:dyDescent="0.3">
      <c r="B21" s="22">
        <v>44474</v>
      </c>
      <c r="C21" s="21" t="s">
        <v>727</v>
      </c>
      <c r="D21" s="34"/>
      <c r="E21" s="18"/>
      <c r="F21" s="18"/>
      <c r="G21" s="18"/>
      <c r="H21" s="18">
        <v>196.9</v>
      </c>
      <c r="I21" s="19"/>
      <c r="J21" s="20">
        <f t="shared" si="0"/>
        <v>0</v>
      </c>
      <c r="K21" s="20">
        <f t="shared" si="1"/>
        <v>62852.02</v>
      </c>
    </row>
    <row r="22" spans="2:13" ht="18.75" x14ac:dyDescent="0.3">
      <c r="B22" s="22">
        <v>44474</v>
      </c>
      <c r="C22" s="21" t="s">
        <v>719</v>
      </c>
      <c r="D22" s="34"/>
      <c r="E22" s="18"/>
      <c r="F22" s="18"/>
      <c r="G22" s="18"/>
      <c r="H22" s="18">
        <v>91</v>
      </c>
      <c r="I22" s="19"/>
      <c r="J22" s="20">
        <f t="shared" si="0"/>
        <v>0</v>
      </c>
      <c r="K22" s="20">
        <f t="shared" si="1"/>
        <v>62761.02</v>
      </c>
    </row>
    <row r="23" spans="2:13" ht="18.75" x14ac:dyDescent="0.3">
      <c r="B23" s="22">
        <v>44474</v>
      </c>
      <c r="C23" s="21" t="s">
        <v>728</v>
      </c>
      <c r="D23" s="34"/>
      <c r="E23" s="18"/>
      <c r="F23" s="18"/>
      <c r="G23" s="18"/>
      <c r="H23" s="18">
        <v>970</v>
      </c>
      <c r="I23" s="19"/>
      <c r="J23" s="20">
        <f t="shared" si="0"/>
        <v>0</v>
      </c>
      <c r="K23" s="20">
        <f t="shared" si="1"/>
        <v>61791.02</v>
      </c>
    </row>
    <row r="24" spans="2:13" ht="18.75" x14ac:dyDescent="0.3">
      <c r="B24" s="22">
        <v>44475</v>
      </c>
      <c r="C24" s="21" t="s">
        <v>729</v>
      </c>
      <c r="D24" s="34"/>
      <c r="E24" s="18"/>
      <c r="F24" s="18"/>
      <c r="G24" s="18"/>
      <c r="H24" s="18">
        <v>84</v>
      </c>
      <c r="I24" s="19"/>
      <c r="J24" s="20">
        <f t="shared" si="0"/>
        <v>0</v>
      </c>
      <c r="K24" s="20">
        <f t="shared" si="1"/>
        <v>61707.02</v>
      </c>
    </row>
    <row r="25" spans="2:13" ht="18.75" x14ac:dyDescent="0.3">
      <c r="B25" s="22">
        <v>44476</v>
      </c>
      <c r="C25" s="21" t="s">
        <v>723</v>
      </c>
      <c r="D25" s="34"/>
      <c r="E25" s="34"/>
      <c r="F25" s="18"/>
      <c r="G25" s="18"/>
      <c r="H25" s="18">
        <v>150</v>
      </c>
      <c r="I25" s="19"/>
      <c r="J25" s="20">
        <f t="shared" si="0"/>
        <v>0</v>
      </c>
      <c r="K25" s="20">
        <f t="shared" si="1"/>
        <v>61557.02</v>
      </c>
    </row>
    <row r="26" spans="2:13" ht="18.75" x14ac:dyDescent="0.3">
      <c r="B26" s="42">
        <v>44477</v>
      </c>
      <c r="C26" s="21" t="s">
        <v>670</v>
      </c>
      <c r="D26" s="34"/>
      <c r="E26" s="34"/>
      <c r="F26" s="18"/>
      <c r="G26" s="18"/>
      <c r="H26" s="18">
        <v>393.8</v>
      </c>
      <c r="I26" s="19"/>
      <c r="J26" s="20">
        <f t="shared" si="0"/>
        <v>0</v>
      </c>
      <c r="K26" s="20">
        <f t="shared" si="1"/>
        <v>61163.219999999994</v>
      </c>
    </row>
    <row r="27" spans="2:13" ht="18.75" x14ac:dyDescent="0.3">
      <c r="B27" s="42">
        <v>44479</v>
      </c>
      <c r="C27" s="21" t="s">
        <v>300</v>
      </c>
      <c r="D27" s="34"/>
      <c r="E27" s="34"/>
      <c r="F27" s="34"/>
      <c r="G27" s="18"/>
      <c r="H27" s="18">
        <v>51</v>
      </c>
      <c r="I27" s="19"/>
      <c r="J27" s="20">
        <f t="shared" si="0"/>
        <v>0</v>
      </c>
      <c r="K27" s="20">
        <f t="shared" si="1"/>
        <v>61112.219999999994</v>
      </c>
    </row>
    <row r="28" spans="2:13" ht="18.75" x14ac:dyDescent="0.3">
      <c r="B28" s="44">
        <v>44479</v>
      </c>
      <c r="C28" s="33" t="s">
        <v>730</v>
      </c>
      <c r="D28" s="34"/>
      <c r="E28" s="34"/>
      <c r="F28" s="34"/>
      <c r="G28" s="34"/>
      <c r="H28" s="18">
        <v>250</v>
      </c>
      <c r="I28" s="19"/>
      <c r="J28" s="20">
        <f t="shared" si="0"/>
        <v>0</v>
      </c>
      <c r="K28" s="20">
        <f t="shared" si="1"/>
        <v>60862.219999999994</v>
      </c>
    </row>
    <row r="29" spans="2:13" ht="18.75" x14ac:dyDescent="0.3">
      <c r="B29" s="44">
        <v>44479</v>
      </c>
      <c r="C29" s="33" t="s">
        <v>482</v>
      </c>
      <c r="D29" s="34"/>
      <c r="E29" s="34"/>
      <c r="F29" s="34"/>
      <c r="G29" s="34"/>
      <c r="H29" s="18">
        <v>100</v>
      </c>
      <c r="I29" s="19"/>
      <c r="J29" s="20">
        <f t="shared" si="0"/>
        <v>0</v>
      </c>
      <c r="K29" s="20">
        <f t="shared" si="1"/>
        <v>60762.219999999994</v>
      </c>
    </row>
    <row r="30" spans="2:13" ht="18.75" x14ac:dyDescent="0.3">
      <c r="B30" s="42">
        <v>44479</v>
      </c>
      <c r="C30" s="33" t="s">
        <v>731</v>
      </c>
      <c r="D30" s="34"/>
      <c r="E30" s="18"/>
      <c r="F30" s="18"/>
      <c r="G30" s="18"/>
      <c r="H30" s="18">
        <v>200</v>
      </c>
      <c r="I30" s="19"/>
      <c r="J30" s="20">
        <f t="shared" si="0"/>
        <v>0</v>
      </c>
      <c r="K30" s="20">
        <f t="shared" si="1"/>
        <v>60562.219999999994</v>
      </c>
      <c r="M30" s="1">
        <v>1785</v>
      </c>
    </row>
    <row r="31" spans="2:13" ht="18.75" x14ac:dyDescent="0.3">
      <c r="B31" s="42">
        <v>44479</v>
      </c>
      <c r="C31" s="54" t="s">
        <v>732</v>
      </c>
      <c r="D31" s="34"/>
      <c r="E31" s="18"/>
      <c r="F31" s="18"/>
      <c r="G31" s="18"/>
      <c r="H31" s="18">
        <v>150</v>
      </c>
      <c r="I31" s="19"/>
      <c r="J31" s="20">
        <f t="shared" si="0"/>
        <v>0</v>
      </c>
      <c r="K31" s="20">
        <f t="shared" si="1"/>
        <v>60412.219999999994</v>
      </c>
    </row>
    <row r="32" spans="2:13" ht="18.75" x14ac:dyDescent="0.3">
      <c r="B32" s="42">
        <v>44479</v>
      </c>
      <c r="C32" s="43" t="s">
        <v>733</v>
      </c>
      <c r="D32" s="34"/>
      <c r="E32" s="18"/>
      <c r="F32" s="18"/>
      <c r="G32" s="18"/>
      <c r="H32" s="18">
        <v>300</v>
      </c>
      <c r="I32" s="19"/>
      <c r="J32" s="20">
        <f t="shared" si="0"/>
        <v>0</v>
      </c>
      <c r="K32" s="20">
        <f t="shared" si="1"/>
        <v>60112.219999999994</v>
      </c>
    </row>
    <row r="33" spans="2:11" ht="18.75" x14ac:dyDescent="0.3">
      <c r="B33" s="42">
        <v>44479</v>
      </c>
      <c r="C33" s="33" t="s">
        <v>734</v>
      </c>
      <c r="D33" s="34"/>
      <c r="E33" s="18"/>
      <c r="F33" s="18"/>
      <c r="G33" s="18"/>
      <c r="H33" s="18">
        <v>200</v>
      </c>
      <c r="I33" s="19"/>
      <c r="J33" s="20">
        <f t="shared" si="0"/>
        <v>0</v>
      </c>
      <c r="K33" s="20">
        <f t="shared" si="1"/>
        <v>59912.219999999994</v>
      </c>
    </row>
    <row r="34" spans="2:11" ht="18.75" x14ac:dyDescent="0.3">
      <c r="B34" s="42">
        <v>44479</v>
      </c>
      <c r="C34" s="54" t="s">
        <v>722</v>
      </c>
      <c r="D34" s="34"/>
      <c r="E34" s="18"/>
      <c r="F34" s="18"/>
      <c r="G34" s="18"/>
      <c r="H34" s="18">
        <v>1785</v>
      </c>
      <c r="I34" s="19"/>
      <c r="J34" s="20">
        <f t="shared" si="0"/>
        <v>0</v>
      </c>
      <c r="K34" s="20">
        <f t="shared" si="1"/>
        <v>58127.219999999994</v>
      </c>
    </row>
    <row r="35" spans="2:11" ht="18.75" x14ac:dyDescent="0.3">
      <c r="B35" s="42">
        <v>44479</v>
      </c>
      <c r="C35" s="43" t="s">
        <v>448</v>
      </c>
      <c r="D35" s="34"/>
      <c r="E35" s="18"/>
      <c r="F35" s="18"/>
      <c r="G35" s="18"/>
      <c r="H35" s="18">
        <v>3000</v>
      </c>
      <c r="I35" s="19"/>
      <c r="J35" s="20">
        <f t="shared" si="0"/>
        <v>0</v>
      </c>
      <c r="K35" s="20">
        <f t="shared" si="1"/>
        <v>55127.219999999994</v>
      </c>
    </row>
    <row r="36" spans="2:11" ht="18.75" x14ac:dyDescent="0.3">
      <c r="B36" s="42">
        <v>44479</v>
      </c>
      <c r="C36" s="33" t="s">
        <v>735</v>
      </c>
      <c r="D36" s="34"/>
      <c r="E36" s="18"/>
      <c r="F36" s="18"/>
      <c r="G36" s="18"/>
      <c r="H36" s="18">
        <v>250</v>
      </c>
      <c r="I36" s="19"/>
      <c r="J36" s="20">
        <f t="shared" si="0"/>
        <v>0</v>
      </c>
      <c r="K36" s="20">
        <f t="shared" si="1"/>
        <v>54877.219999999994</v>
      </c>
    </row>
    <row r="37" spans="2:11" ht="18.75" x14ac:dyDescent="0.3">
      <c r="B37" s="42">
        <v>44479</v>
      </c>
      <c r="C37" s="43" t="s">
        <v>60</v>
      </c>
      <c r="D37" s="34">
        <v>30000</v>
      </c>
      <c r="E37" s="18"/>
      <c r="F37" s="18"/>
      <c r="G37" s="18"/>
      <c r="H37" s="18"/>
      <c r="I37" s="19"/>
      <c r="J37" s="20">
        <f t="shared" si="0"/>
        <v>0</v>
      </c>
      <c r="K37" s="20">
        <f t="shared" si="1"/>
        <v>84877.22</v>
      </c>
    </row>
    <row r="38" spans="2:11" ht="18.75" x14ac:dyDescent="0.3">
      <c r="B38" s="47">
        <v>44480</v>
      </c>
      <c r="C38" s="33" t="s">
        <v>736</v>
      </c>
      <c r="D38" s="34"/>
      <c r="E38" s="18"/>
      <c r="F38" s="18"/>
      <c r="G38" s="18"/>
      <c r="H38" s="18">
        <v>778</v>
      </c>
      <c r="I38" s="19"/>
      <c r="J38" s="20">
        <f t="shared" si="0"/>
        <v>0</v>
      </c>
      <c r="K38" s="20">
        <f t="shared" si="1"/>
        <v>84099.22</v>
      </c>
    </row>
    <row r="39" spans="2:11" ht="18.75" x14ac:dyDescent="0.3">
      <c r="B39" s="42">
        <v>44480</v>
      </c>
      <c r="C39" s="33" t="s">
        <v>779</v>
      </c>
      <c r="D39" s="34"/>
      <c r="E39" s="18"/>
      <c r="F39" s="18"/>
      <c r="G39" s="18"/>
      <c r="H39" s="18">
        <v>700</v>
      </c>
      <c r="I39" s="19"/>
      <c r="J39" s="20">
        <f t="shared" si="0"/>
        <v>0</v>
      </c>
      <c r="K39" s="20">
        <f t="shared" si="1"/>
        <v>83399.22</v>
      </c>
    </row>
    <row r="40" spans="2:11" ht="18.75" x14ac:dyDescent="0.3">
      <c r="B40" s="47">
        <v>44480</v>
      </c>
      <c r="C40" s="54" t="s">
        <v>737</v>
      </c>
      <c r="D40" s="34"/>
      <c r="E40" s="34"/>
      <c r="F40" s="34"/>
      <c r="G40" s="34"/>
      <c r="H40" s="18">
        <v>2200</v>
      </c>
      <c r="I40" s="19"/>
      <c r="J40" s="20">
        <f t="shared" si="0"/>
        <v>0</v>
      </c>
      <c r="K40" s="20">
        <f t="shared" si="1"/>
        <v>81199.22</v>
      </c>
    </row>
    <row r="41" spans="2:11" ht="18.75" x14ac:dyDescent="0.3">
      <c r="B41" s="42">
        <v>44481</v>
      </c>
      <c r="C41" s="33" t="s">
        <v>738</v>
      </c>
      <c r="D41" s="34"/>
      <c r="E41" s="18"/>
      <c r="F41" s="18"/>
      <c r="G41" s="18"/>
      <c r="H41" s="18">
        <v>147</v>
      </c>
      <c r="I41" s="19"/>
      <c r="J41" s="20">
        <f t="shared" si="0"/>
        <v>0</v>
      </c>
      <c r="K41" s="20">
        <f t="shared" si="1"/>
        <v>81052.22</v>
      </c>
    </row>
    <row r="42" spans="2:11" ht="18.75" x14ac:dyDescent="0.3">
      <c r="B42" s="42">
        <v>44482</v>
      </c>
      <c r="C42" s="54" t="s">
        <v>730</v>
      </c>
      <c r="D42" s="34"/>
      <c r="E42" s="18"/>
      <c r="F42" s="18"/>
      <c r="G42" s="18"/>
      <c r="H42" s="18">
        <v>196.9</v>
      </c>
      <c r="I42" s="19"/>
      <c r="J42" s="20">
        <f t="shared" si="0"/>
        <v>0</v>
      </c>
      <c r="K42" s="20">
        <f t="shared" si="1"/>
        <v>80855.320000000007</v>
      </c>
    </row>
    <row r="43" spans="2:11" ht="18.75" x14ac:dyDescent="0.3">
      <c r="B43" s="42">
        <v>44482</v>
      </c>
      <c r="C43" s="43" t="s">
        <v>739</v>
      </c>
      <c r="D43" s="34"/>
      <c r="E43" s="18"/>
      <c r="F43" s="18"/>
      <c r="G43" s="18"/>
      <c r="H43" s="18">
        <v>98.94</v>
      </c>
      <c r="I43" s="19"/>
      <c r="J43" s="20">
        <f t="shared" si="0"/>
        <v>0</v>
      </c>
      <c r="K43" s="20">
        <f t="shared" si="1"/>
        <v>80756.38</v>
      </c>
    </row>
    <row r="44" spans="2:11" ht="18.75" x14ac:dyDescent="0.3">
      <c r="B44" s="47">
        <v>44484</v>
      </c>
      <c r="C44" s="21" t="s">
        <v>740</v>
      </c>
      <c r="D44" s="34"/>
      <c r="E44" s="34"/>
      <c r="F44" s="34"/>
      <c r="G44" s="34"/>
      <c r="H44" s="18">
        <v>126</v>
      </c>
      <c r="I44" s="19"/>
      <c r="J44" s="20">
        <f t="shared" si="0"/>
        <v>0</v>
      </c>
      <c r="K44" s="20">
        <f t="shared" si="1"/>
        <v>80630.38</v>
      </c>
    </row>
    <row r="45" spans="2:11" ht="18.75" x14ac:dyDescent="0.3">
      <c r="B45" s="22">
        <v>44484</v>
      </c>
      <c r="C45" s="43" t="s">
        <v>300</v>
      </c>
      <c r="D45" s="18"/>
      <c r="E45" s="18"/>
      <c r="F45" s="18"/>
      <c r="G45" s="18"/>
      <c r="H45" s="18">
        <v>44</v>
      </c>
      <c r="I45" s="19"/>
      <c r="J45" s="20">
        <f t="shared" si="0"/>
        <v>0</v>
      </c>
      <c r="K45" s="20">
        <f t="shared" si="1"/>
        <v>80586.38</v>
      </c>
    </row>
    <row r="46" spans="2:11" ht="18.75" x14ac:dyDescent="0.3">
      <c r="B46" s="42">
        <v>44484</v>
      </c>
      <c r="C46" s="43" t="s">
        <v>741</v>
      </c>
      <c r="D46" s="18"/>
      <c r="E46" s="18"/>
      <c r="F46" s="18"/>
      <c r="G46" s="18"/>
      <c r="H46" s="18">
        <v>145</v>
      </c>
      <c r="I46" s="19"/>
      <c r="J46" s="20">
        <f t="shared" si="0"/>
        <v>0</v>
      </c>
      <c r="K46" s="20">
        <f t="shared" si="1"/>
        <v>80441.38</v>
      </c>
    </row>
    <row r="47" spans="2:11" ht="18.75" x14ac:dyDescent="0.3">
      <c r="B47" s="44">
        <v>44484</v>
      </c>
      <c r="C47" s="43" t="s">
        <v>739</v>
      </c>
      <c r="D47" s="34"/>
      <c r="E47" s="18"/>
      <c r="F47" s="18"/>
      <c r="G47" s="18"/>
      <c r="H47" s="18">
        <v>45.36</v>
      </c>
      <c r="I47" s="19"/>
      <c r="J47" s="20">
        <f t="shared" si="0"/>
        <v>0</v>
      </c>
      <c r="K47" s="20">
        <f t="shared" si="1"/>
        <v>80396.02</v>
      </c>
    </row>
    <row r="48" spans="2:11" ht="18.75" x14ac:dyDescent="0.3">
      <c r="B48" s="47">
        <v>44484</v>
      </c>
      <c r="C48" s="33" t="s">
        <v>300</v>
      </c>
      <c r="D48" s="34"/>
      <c r="E48" s="18"/>
      <c r="F48" s="18"/>
      <c r="G48" s="18"/>
      <c r="H48" s="18">
        <v>27.9</v>
      </c>
      <c r="I48" s="19"/>
      <c r="J48" s="20">
        <f t="shared" si="0"/>
        <v>0</v>
      </c>
      <c r="K48" s="20">
        <f t="shared" si="1"/>
        <v>80368.12000000001</v>
      </c>
    </row>
    <row r="49" spans="2:13" ht="18.75" x14ac:dyDescent="0.3">
      <c r="B49" s="47">
        <v>44484</v>
      </c>
      <c r="C49" s="33" t="s">
        <v>742</v>
      </c>
      <c r="D49" s="34"/>
      <c r="E49" s="18"/>
      <c r="F49" s="18"/>
      <c r="G49" s="18"/>
      <c r="H49" s="18">
        <v>400</v>
      </c>
      <c r="I49" s="19"/>
      <c r="J49" s="20">
        <f t="shared" si="0"/>
        <v>0</v>
      </c>
      <c r="K49" s="20">
        <f t="shared" si="1"/>
        <v>79968.12000000001</v>
      </c>
    </row>
    <row r="50" spans="2:13" ht="18.75" x14ac:dyDescent="0.3">
      <c r="B50" s="47">
        <v>44484</v>
      </c>
      <c r="C50" s="33" t="s">
        <v>743</v>
      </c>
      <c r="D50" s="34"/>
      <c r="E50" s="18"/>
      <c r="F50" s="18"/>
      <c r="G50" s="18"/>
      <c r="H50" s="18">
        <v>500</v>
      </c>
      <c r="I50" s="19"/>
      <c r="J50" s="20">
        <f t="shared" si="0"/>
        <v>0</v>
      </c>
      <c r="K50" s="20">
        <f t="shared" si="1"/>
        <v>79468.12000000001</v>
      </c>
    </row>
    <row r="51" spans="2:13" ht="19.5" thickBot="1" x14ac:dyDescent="0.35">
      <c r="B51" s="47">
        <v>44484</v>
      </c>
      <c r="C51" s="33" t="s">
        <v>744</v>
      </c>
      <c r="D51" s="34"/>
      <c r="E51" s="18"/>
      <c r="F51" s="18"/>
      <c r="G51" s="18"/>
      <c r="H51" s="102">
        <v>1300</v>
      </c>
      <c r="I51" s="19"/>
      <c r="J51" s="20">
        <f t="shared" si="0"/>
        <v>0</v>
      </c>
      <c r="K51" s="20">
        <f t="shared" si="1"/>
        <v>78168.12000000001</v>
      </c>
    </row>
    <row r="52" spans="2:13" ht="19.5" thickBot="1" x14ac:dyDescent="0.35">
      <c r="B52" s="25"/>
      <c r="C52" s="26" t="s">
        <v>0</v>
      </c>
      <c r="D52" s="27">
        <f>SUM(D4:D51)</f>
        <v>76225</v>
      </c>
      <c r="E52" s="28">
        <f>SUM(E4:E51)</f>
        <v>0</v>
      </c>
      <c r="F52" s="29">
        <f>SUM(D52:E52)</f>
        <v>76225</v>
      </c>
      <c r="G52" s="30">
        <f>SUM(G4:G51)</f>
        <v>0</v>
      </c>
      <c r="H52" s="27">
        <f>SUM(H5:H51)</f>
        <v>22649.9</v>
      </c>
      <c r="I52" s="29">
        <f>SUM(G52:H52)</f>
        <v>22649.9</v>
      </c>
      <c r="J52" s="20"/>
      <c r="K52" s="20"/>
    </row>
    <row r="53" spans="2:13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3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3" ht="19.5" thickBot="1" x14ac:dyDescent="0.35">
      <c r="B55" s="25"/>
      <c r="C55" s="26"/>
      <c r="D55" s="27">
        <v>76225</v>
      </c>
      <c r="E55" s="28">
        <v>0</v>
      </c>
      <c r="F55" s="29">
        <f>SUM(D55:E55)</f>
        <v>76225</v>
      </c>
      <c r="G55" s="30">
        <v>0</v>
      </c>
      <c r="H55" s="27">
        <v>22649.9</v>
      </c>
      <c r="I55" s="29">
        <f>SUM(G55:H55)</f>
        <v>22649.9</v>
      </c>
      <c r="J55" s="53">
        <v>0</v>
      </c>
      <c r="K55" s="53">
        <v>0</v>
      </c>
    </row>
    <row r="56" spans="2:13" ht="18.75" x14ac:dyDescent="0.3">
      <c r="B56" s="22">
        <v>44484</v>
      </c>
      <c r="C56" s="54" t="s">
        <v>745</v>
      </c>
      <c r="D56" s="34"/>
      <c r="E56" s="18"/>
      <c r="F56" s="18"/>
      <c r="G56" s="18"/>
      <c r="H56" s="18">
        <v>900</v>
      </c>
      <c r="I56" s="19"/>
      <c r="J56" s="20">
        <f t="shared" ref="J56" si="2">+J55+E56-G56</f>
        <v>0</v>
      </c>
      <c r="K56" s="20">
        <f>+K51+D56-H56</f>
        <v>77268.12000000001</v>
      </c>
    </row>
    <row r="57" spans="2:13" ht="18.75" x14ac:dyDescent="0.3">
      <c r="B57" s="22">
        <v>37179</v>
      </c>
      <c r="C57" s="54" t="s">
        <v>81</v>
      </c>
      <c r="D57" s="34"/>
      <c r="E57" s="18"/>
      <c r="F57" s="18"/>
      <c r="G57" s="18"/>
      <c r="H57" s="18">
        <v>5000</v>
      </c>
      <c r="I57" s="19"/>
      <c r="J57" s="20">
        <f>+J56+E57-G57</f>
        <v>0</v>
      </c>
      <c r="K57" s="20">
        <f>+K56+D57-H57</f>
        <v>72268.12000000001</v>
      </c>
    </row>
    <row r="58" spans="2:13" ht="18.75" x14ac:dyDescent="0.3">
      <c r="B58" s="42">
        <v>44484</v>
      </c>
      <c r="C58" s="33" t="s">
        <v>170</v>
      </c>
      <c r="D58" s="34"/>
      <c r="E58" s="18"/>
      <c r="F58" s="18"/>
      <c r="G58" s="18"/>
      <c r="H58" s="18">
        <v>250</v>
      </c>
      <c r="I58" s="19"/>
      <c r="J58" s="20">
        <f t="shared" ref="J58:J103" si="3">+J57+E58-G58</f>
        <v>0</v>
      </c>
      <c r="K58" s="20">
        <f t="shared" ref="K58:K103" si="4">+K57+D58-H58</f>
        <v>72018.12000000001</v>
      </c>
    </row>
    <row r="59" spans="2:13" ht="18.75" x14ac:dyDescent="0.3">
      <c r="B59" s="42">
        <v>44484</v>
      </c>
      <c r="C59" s="33" t="s">
        <v>171</v>
      </c>
      <c r="D59" s="34"/>
      <c r="E59" s="18"/>
      <c r="F59" s="18"/>
      <c r="G59" s="18"/>
      <c r="H59" s="18">
        <v>300</v>
      </c>
      <c r="I59" s="19"/>
      <c r="J59" s="20">
        <f t="shared" si="3"/>
        <v>0</v>
      </c>
      <c r="K59" s="20">
        <f t="shared" si="4"/>
        <v>71718.12000000001</v>
      </c>
      <c r="M59">
        <v>250</v>
      </c>
    </row>
    <row r="60" spans="2:13" ht="18.75" x14ac:dyDescent="0.3">
      <c r="B60" s="42">
        <v>44484</v>
      </c>
      <c r="C60" s="33" t="s">
        <v>172</v>
      </c>
      <c r="D60" s="34"/>
      <c r="E60" s="34"/>
      <c r="F60" s="34"/>
      <c r="G60" s="34"/>
      <c r="H60" s="18">
        <v>650</v>
      </c>
      <c r="I60" s="19"/>
      <c r="J60" s="20">
        <f t="shared" si="3"/>
        <v>0</v>
      </c>
      <c r="K60" s="20">
        <f t="shared" si="4"/>
        <v>71068.12000000001</v>
      </c>
      <c r="M60">
        <v>300</v>
      </c>
    </row>
    <row r="61" spans="2:13" ht="18.75" x14ac:dyDescent="0.3">
      <c r="B61" s="47">
        <v>44484</v>
      </c>
      <c r="C61" s="21" t="s">
        <v>231</v>
      </c>
      <c r="D61" s="34"/>
      <c r="E61" s="34"/>
      <c r="F61" s="34"/>
      <c r="G61" s="34"/>
      <c r="H61" s="18">
        <v>3400</v>
      </c>
      <c r="I61" s="19"/>
      <c r="J61" s="20">
        <f t="shared" si="3"/>
        <v>0</v>
      </c>
      <c r="K61" s="20">
        <f t="shared" si="4"/>
        <v>67668.12000000001</v>
      </c>
      <c r="M61">
        <v>650</v>
      </c>
    </row>
    <row r="62" spans="2:13" ht="18.75" x14ac:dyDescent="0.3">
      <c r="B62" s="22">
        <v>44484</v>
      </c>
      <c r="C62" s="43" t="s">
        <v>448</v>
      </c>
      <c r="D62" s="18"/>
      <c r="E62" s="18"/>
      <c r="F62" s="18"/>
      <c r="G62" s="18"/>
      <c r="H62" s="18">
        <v>6000</v>
      </c>
      <c r="I62" s="19"/>
      <c r="J62" s="20">
        <f t="shared" si="3"/>
        <v>0</v>
      </c>
      <c r="K62" s="20">
        <f t="shared" si="4"/>
        <v>61668.12000000001</v>
      </c>
      <c r="M62">
        <v>3400</v>
      </c>
    </row>
    <row r="63" spans="2:13" ht="18.75" x14ac:dyDescent="0.3">
      <c r="B63" s="42">
        <v>44484</v>
      </c>
      <c r="C63" s="43" t="s">
        <v>83</v>
      </c>
      <c r="D63" s="18"/>
      <c r="E63" s="18"/>
      <c r="F63" s="18"/>
      <c r="G63" s="18"/>
      <c r="H63" s="18">
        <v>33800</v>
      </c>
      <c r="I63" s="19"/>
      <c r="J63" s="20">
        <f t="shared" si="3"/>
        <v>0</v>
      </c>
      <c r="K63" s="20">
        <f t="shared" si="4"/>
        <v>27868.12000000001</v>
      </c>
      <c r="M63">
        <v>6000</v>
      </c>
    </row>
    <row r="64" spans="2:13" ht="18.75" x14ac:dyDescent="0.3">
      <c r="B64" s="44">
        <v>44484</v>
      </c>
      <c r="C64" s="43" t="s">
        <v>84</v>
      </c>
      <c r="D64" s="34"/>
      <c r="E64" s="18"/>
      <c r="F64" s="18"/>
      <c r="G64" s="18"/>
      <c r="H64" s="18">
        <v>5750</v>
      </c>
      <c r="I64" s="19"/>
      <c r="J64" s="20">
        <f t="shared" si="3"/>
        <v>0</v>
      </c>
      <c r="K64" s="20">
        <f t="shared" si="4"/>
        <v>22118.12000000001</v>
      </c>
      <c r="M64">
        <v>33800</v>
      </c>
    </row>
    <row r="65" spans="2:13" ht="18.75" x14ac:dyDescent="0.3">
      <c r="B65" s="42">
        <v>44486</v>
      </c>
      <c r="C65" s="43" t="s">
        <v>780</v>
      </c>
      <c r="D65" s="18"/>
      <c r="E65" s="18"/>
      <c r="F65" s="18"/>
      <c r="G65" s="18"/>
      <c r="H65" s="18">
        <v>100</v>
      </c>
      <c r="I65" s="19"/>
      <c r="J65" s="20">
        <f t="shared" si="3"/>
        <v>0</v>
      </c>
      <c r="K65" s="20">
        <f t="shared" si="4"/>
        <v>22018.12000000001</v>
      </c>
      <c r="M65">
        <v>5950</v>
      </c>
    </row>
    <row r="66" spans="2:13" ht="18.75" x14ac:dyDescent="0.3">
      <c r="B66" s="44">
        <v>44486</v>
      </c>
      <c r="C66" s="43" t="s">
        <v>181</v>
      </c>
      <c r="D66" s="34"/>
      <c r="E66" s="18"/>
      <c r="F66" s="18"/>
      <c r="G66" s="18"/>
      <c r="H66" s="18">
        <v>200</v>
      </c>
      <c r="I66" s="19"/>
      <c r="J66" s="20">
        <f t="shared" si="3"/>
        <v>0</v>
      </c>
      <c r="K66" s="20">
        <f t="shared" si="4"/>
        <v>21818.12000000001</v>
      </c>
    </row>
    <row r="67" spans="2:13" ht="18.75" x14ac:dyDescent="0.3">
      <c r="B67" s="22">
        <v>44486</v>
      </c>
      <c r="C67" s="43" t="s">
        <v>694</v>
      </c>
      <c r="D67" s="18"/>
      <c r="E67" s="18"/>
      <c r="F67" s="18"/>
      <c r="G67" s="18"/>
      <c r="H67" s="18">
        <v>150</v>
      </c>
      <c r="I67" s="19"/>
      <c r="J67" s="20">
        <f t="shared" si="3"/>
        <v>0</v>
      </c>
      <c r="K67" s="20">
        <f t="shared" si="4"/>
        <v>21668.12000000001</v>
      </c>
    </row>
    <row r="68" spans="2:13" ht="18.75" x14ac:dyDescent="0.3">
      <c r="B68" s="42">
        <v>44486</v>
      </c>
      <c r="C68" s="43" t="s">
        <v>747</v>
      </c>
      <c r="D68" s="18"/>
      <c r="E68" s="18"/>
      <c r="F68" s="18"/>
      <c r="G68" s="18"/>
      <c r="H68" s="18">
        <v>300</v>
      </c>
      <c r="I68" s="19"/>
      <c r="J68" s="20">
        <f t="shared" si="3"/>
        <v>0</v>
      </c>
      <c r="K68" s="20">
        <f t="shared" si="4"/>
        <v>21368.12000000001</v>
      </c>
    </row>
    <row r="69" spans="2:13" ht="18.75" x14ac:dyDescent="0.3">
      <c r="B69" s="44">
        <v>44486</v>
      </c>
      <c r="C69" s="43" t="s">
        <v>90</v>
      </c>
      <c r="D69" s="34">
        <v>25750</v>
      </c>
      <c r="E69" s="18"/>
      <c r="F69" s="18"/>
      <c r="G69" s="18"/>
      <c r="H69" s="18"/>
      <c r="I69" s="19"/>
      <c r="J69" s="20">
        <f t="shared" si="3"/>
        <v>0</v>
      </c>
      <c r="K69" s="20">
        <f t="shared" si="4"/>
        <v>47118.12000000001</v>
      </c>
    </row>
    <row r="70" spans="2:13" ht="18.75" x14ac:dyDescent="0.3">
      <c r="B70" s="44">
        <v>44487</v>
      </c>
      <c r="C70" s="54" t="s">
        <v>748</v>
      </c>
      <c r="D70" s="34"/>
      <c r="E70" s="18"/>
      <c r="F70" s="18"/>
      <c r="G70" s="18"/>
      <c r="H70" s="18">
        <v>1750</v>
      </c>
      <c r="I70" s="19"/>
      <c r="J70" s="20">
        <f t="shared" si="3"/>
        <v>0</v>
      </c>
      <c r="K70" s="20">
        <f t="shared" si="4"/>
        <v>45368.12000000001</v>
      </c>
      <c r="M70">
        <v>6800</v>
      </c>
    </row>
    <row r="71" spans="2:13" ht="18.75" x14ac:dyDescent="0.3">
      <c r="B71" s="42">
        <v>44487</v>
      </c>
      <c r="C71" s="17" t="s">
        <v>749</v>
      </c>
      <c r="D71" s="34"/>
      <c r="E71" s="18"/>
      <c r="F71" s="18"/>
      <c r="G71" s="18"/>
      <c r="H71" s="18">
        <v>500</v>
      </c>
      <c r="I71" s="19"/>
      <c r="J71" s="20">
        <f t="shared" si="3"/>
        <v>0</v>
      </c>
      <c r="K71" s="20">
        <f t="shared" si="4"/>
        <v>44868.12000000001</v>
      </c>
    </row>
    <row r="72" spans="2:13" ht="18.75" x14ac:dyDescent="0.3">
      <c r="B72" s="42">
        <v>44489</v>
      </c>
      <c r="C72" s="43" t="s">
        <v>750</v>
      </c>
      <c r="D72" s="18"/>
      <c r="E72" s="18"/>
      <c r="F72" s="18"/>
      <c r="G72" s="18"/>
      <c r="H72" s="18">
        <v>300</v>
      </c>
      <c r="I72" s="19"/>
      <c r="J72" s="20">
        <f t="shared" si="3"/>
        <v>0</v>
      </c>
      <c r="K72" s="20">
        <f t="shared" si="4"/>
        <v>44568.12000000001</v>
      </c>
    </row>
    <row r="73" spans="2:13" ht="18.75" x14ac:dyDescent="0.3">
      <c r="B73" s="42">
        <v>44489</v>
      </c>
      <c r="C73" s="43" t="s">
        <v>752</v>
      </c>
      <c r="D73" s="18"/>
      <c r="E73" s="18"/>
      <c r="F73" s="18"/>
      <c r="G73" s="18"/>
      <c r="H73" s="18">
        <v>107</v>
      </c>
      <c r="I73" s="19"/>
      <c r="J73" s="20">
        <f t="shared" si="3"/>
        <v>0</v>
      </c>
      <c r="K73" s="20">
        <f t="shared" si="4"/>
        <v>44461.12000000001</v>
      </c>
    </row>
    <row r="74" spans="2:13" ht="18.75" x14ac:dyDescent="0.3">
      <c r="B74" s="42">
        <v>44490</v>
      </c>
      <c r="C74" s="43" t="s">
        <v>753</v>
      </c>
      <c r="D74" s="18"/>
      <c r="E74" s="18"/>
      <c r="F74" s="18"/>
      <c r="G74" s="18"/>
      <c r="H74" s="18">
        <v>950</v>
      </c>
      <c r="I74" s="19"/>
      <c r="J74" s="20">
        <f t="shared" si="3"/>
        <v>0</v>
      </c>
      <c r="K74" s="20">
        <f t="shared" si="4"/>
        <v>43511.12000000001</v>
      </c>
    </row>
    <row r="75" spans="2:13" ht="18.75" x14ac:dyDescent="0.3">
      <c r="B75" s="42">
        <v>44491</v>
      </c>
      <c r="C75" s="43" t="s">
        <v>754</v>
      </c>
      <c r="D75" s="18"/>
      <c r="E75" s="18"/>
      <c r="F75" s="18"/>
      <c r="G75" s="18"/>
      <c r="H75" s="18">
        <v>250</v>
      </c>
      <c r="I75" s="19"/>
      <c r="J75" s="20">
        <f t="shared" si="3"/>
        <v>0</v>
      </c>
      <c r="K75" s="20">
        <f t="shared" si="4"/>
        <v>43261.12000000001</v>
      </c>
    </row>
    <row r="76" spans="2:13" ht="18.75" x14ac:dyDescent="0.3">
      <c r="B76" s="42">
        <v>44491</v>
      </c>
      <c r="C76" s="33" t="s">
        <v>755</v>
      </c>
      <c r="D76" s="18"/>
      <c r="E76" s="18"/>
      <c r="F76" s="18"/>
      <c r="G76" s="18"/>
      <c r="H76" s="18">
        <v>300</v>
      </c>
      <c r="I76" s="19"/>
      <c r="J76" s="20">
        <f t="shared" si="3"/>
        <v>0</v>
      </c>
      <c r="K76" s="20">
        <f t="shared" si="4"/>
        <v>42961.12000000001</v>
      </c>
    </row>
    <row r="77" spans="2:13" ht="18.75" x14ac:dyDescent="0.3">
      <c r="B77" s="46">
        <v>44491</v>
      </c>
      <c r="C77" s="43" t="s">
        <v>756</v>
      </c>
      <c r="D77" s="18"/>
      <c r="E77" s="18"/>
      <c r="F77" s="18"/>
      <c r="G77" s="18"/>
      <c r="H77" s="18">
        <v>163</v>
      </c>
      <c r="I77" s="19"/>
      <c r="J77" s="20">
        <f t="shared" si="3"/>
        <v>0</v>
      </c>
      <c r="K77" s="20">
        <f t="shared" si="4"/>
        <v>42798.12000000001</v>
      </c>
    </row>
    <row r="78" spans="2:13" ht="18.75" x14ac:dyDescent="0.3">
      <c r="B78" s="22">
        <v>44492</v>
      </c>
      <c r="C78" s="33" t="s">
        <v>740</v>
      </c>
      <c r="D78" s="18"/>
      <c r="E78" s="18"/>
      <c r="F78" s="18"/>
      <c r="G78" s="18"/>
      <c r="H78" s="18">
        <v>126</v>
      </c>
      <c r="I78" s="19"/>
      <c r="J78" s="20">
        <f t="shared" si="3"/>
        <v>0</v>
      </c>
      <c r="K78" s="20">
        <f t="shared" si="4"/>
        <v>42672.12000000001</v>
      </c>
      <c r="L78" s="1"/>
    </row>
    <row r="79" spans="2:13" ht="18.75" x14ac:dyDescent="0.3">
      <c r="B79" s="22">
        <v>44492</v>
      </c>
      <c r="C79" s="51" t="s">
        <v>757</v>
      </c>
      <c r="D79" s="34"/>
      <c r="E79" s="18"/>
      <c r="F79" s="18"/>
      <c r="G79" s="18"/>
      <c r="H79" s="18">
        <v>350</v>
      </c>
      <c r="I79" s="19"/>
      <c r="J79" s="20">
        <f t="shared" si="3"/>
        <v>0</v>
      </c>
      <c r="K79" s="20">
        <f t="shared" si="4"/>
        <v>42322.12000000001</v>
      </c>
      <c r="L79" s="1"/>
    </row>
    <row r="80" spans="2:13" ht="18.75" x14ac:dyDescent="0.3">
      <c r="B80" s="44">
        <v>44492</v>
      </c>
      <c r="C80" s="51" t="s">
        <v>758</v>
      </c>
      <c r="D80" s="34"/>
      <c r="E80" s="18"/>
      <c r="F80" s="18"/>
      <c r="G80" s="18"/>
      <c r="H80" s="18">
        <v>900</v>
      </c>
      <c r="I80" s="19"/>
      <c r="J80" s="20">
        <f t="shared" si="3"/>
        <v>0</v>
      </c>
      <c r="K80" s="20">
        <f t="shared" si="4"/>
        <v>41422.12000000001</v>
      </c>
      <c r="L80" s="1"/>
    </row>
    <row r="81" spans="2:12" ht="18.75" x14ac:dyDescent="0.3">
      <c r="B81" s="47">
        <v>44493</v>
      </c>
      <c r="C81" s="43" t="s">
        <v>759</v>
      </c>
      <c r="D81" s="34"/>
      <c r="E81" s="18"/>
      <c r="F81" s="18"/>
      <c r="G81" s="18"/>
      <c r="H81" s="18">
        <v>200</v>
      </c>
      <c r="I81" s="19"/>
      <c r="J81" s="20">
        <f t="shared" si="3"/>
        <v>0</v>
      </c>
      <c r="K81" s="20">
        <f t="shared" si="4"/>
        <v>41222.12000000001</v>
      </c>
    </row>
    <row r="82" spans="2:12" ht="18.75" x14ac:dyDescent="0.3">
      <c r="B82" s="47">
        <v>44493</v>
      </c>
      <c r="C82" s="43" t="s">
        <v>755</v>
      </c>
      <c r="D82" s="34"/>
      <c r="E82" s="18"/>
      <c r="F82" s="18"/>
      <c r="G82" s="18"/>
      <c r="H82" s="18">
        <v>297</v>
      </c>
      <c r="I82" s="19"/>
      <c r="J82" s="20">
        <f t="shared" si="3"/>
        <v>0</v>
      </c>
      <c r="K82" s="20">
        <f t="shared" si="4"/>
        <v>40925.12000000001</v>
      </c>
    </row>
    <row r="83" spans="2:12" ht="18.75" x14ac:dyDescent="0.3">
      <c r="B83" s="47">
        <v>44493</v>
      </c>
      <c r="C83" s="21" t="s">
        <v>637</v>
      </c>
      <c r="D83" s="34"/>
      <c r="E83" s="18"/>
      <c r="F83" s="18"/>
      <c r="G83" s="18"/>
      <c r="H83" s="18">
        <v>200</v>
      </c>
      <c r="I83" s="19"/>
      <c r="J83" s="20">
        <f t="shared" si="3"/>
        <v>0</v>
      </c>
      <c r="K83" s="20">
        <f t="shared" si="4"/>
        <v>40725.12000000001</v>
      </c>
    </row>
    <row r="84" spans="2:12" ht="18.75" x14ac:dyDescent="0.3">
      <c r="B84" s="47">
        <v>44493</v>
      </c>
      <c r="C84" s="43" t="s">
        <v>291</v>
      </c>
      <c r="D84" s="34"/>
      <c r="E84" s="18"/>
      <c r="F84" s="18"/>
      <c r="G84" s="18"/>
      <c r="H84" s="18">
        <v>200</v>
      </c>
      <c r="I84" s="19"/>
      <c r="J84" s="20">
        <f t="shared" si="3"/>
        <v>0</v>
      </c>
      <c r="K84" s="20">
        <f t="shared" si="4"/>
        <v>40525.12000000001</v>
      </c>
    </row>
    <row r="85" spans="2:12" ht="18.75" x14ac:dyDescent="0.3">
      <c r="B85" s="47">
        <v>44494</v>
      </c>
      <c r="C85" s="43" t="s">
        <v>300</v>
      </c>
      <c r="D85" s="34"/>
      <c r="E85" s="18"/>
      <c r="F85" s="18"/>
      <c r="G85" s="18"/>
      <c r="H85" s="18">
        <v>49.9</v>
      </c>
      <c r="I85" s="19"/>
      <c r="J85" s="20">
        <f t="shared" si="3"/>
        <v>0</v>
      </c>
      <c r="K85" s="20">
        <f t="shared" si="4"/>
        <v>40475.220000000008</v>
      </c>
    </row>
    <row r="86" spans="2:12" ht="18.75" x14ac:dyDescent="0.3">
      <c r="B86" s="42">
        <v>44493</v>
      </c>
      <c r="C86" s="43" t="s">
        <v>746</v>
      </c>
      <c r="D86" s="34"/>
      <c r="E86" s="18"/>
      <c r="F86" s="18"/>
      <c r="G86" s="18"/>
      <c r="H86" s="18">
        <v>100</v>
      </c>
      <c r="I86" s="19"/>
      <c r="J86" s="20">
        <f t="shared" si="3"/>
        <v>0</v>
      </c>
      <c r="K86" s="20">
        <f t="shared" si="4"/>
        <v>40375.220000000008</v>
      </c>
    </row>
    <row r="87" spans="2:12" ht="18.75" x14ac:dyDescent="0.3">
      <c r="B87" s="44">
        <v>44493</v>
      </c>
      <c r="C87" s="43" t="s">
        <v>751</v>
      </c>
      <c r="D87" s="34"/>
      <c r="E87" s="18"/>
      <c r="F87" s="18"/>
      <c r="G87" s="18"/>
      <c r="H87" s="18">
        <v>200</v>
      </c>
      <c r="I87" s="19"/>
      <c r="J87" s="20">
        <f t="shared" si="3"/>
        <v>0</v>
      </c>
      <c r="K87" s="20">
        <f t="shared" si="4"/>
        <v>40175.220000000008</v>
      </c>
    </row>
    <row r="88" spans="2:12" ht="18.75" x14ac:dyDescent="0.3">
      <c r="B88" s="22">
        <v>44493</v>
      </c>
      <c r="C88" s="43" t="s">
        <v>694</v>
      </c>
      <c r="D88" s="34"/>
      <c r="E88" s="18"/>
      <c r="F88" s="18"/>
      <c r="G88" s="18"/>
      <c r="H88" s="18">
        <v>150</v>
      </c>
      <c r="I88" s="19"/>
      <c r="J88" s="20">
        <f t="shared" si="3"/>
        <v>0</v>
      </c>
      <c r="K88" s="20">
        <f t="shared" si="4"/>
        <v>40025.220000000008</v>
      </c>
    </row>
    <row r="89" spans="2:12" ht="18.75" x14ac:dyDescent="0.3">
      <c r="B89" s="42">
        <v>44493</v>
      </c>
      <c r="C89" s="43" t="s">
        <v>747</v>
      </c>
      <c r="D89" s="34"/>
      <c r="E89" s="18"/>
      <c r="F89" s="18"/>
      <c r="G89" s="18"/>
      <c r="H89" s="18">
        <v>300</v>
      </c>
      <c r="I89" s="19"/>
      <c r="J89" s="20">
        <f t="shared" si="3"/>
        <v>0</v>
      </c>
      <c r="K89" s="20">
        <f t="shared" si="4"/>
        <v>39725.220000000008</v>
      </c>
    </row>
    <row r="90" spans="2:12" ht="18.75" x14ac:dyDescent="0.3">
      <c r="B90" s="44">
        <v>44493</v>
      </c>
      <c r="C90" s="43" t="s">
        <v>309</v>
      </c>
      <c r="D90" s="34">
        <v>22500</v>
      </c>
      <c r="E90" s="18"/>
      <c r="F90" s="18"/>
      <c r="G90" s="18"/>
      <c r="H90" s="18"/>
      <c r="I90" s="19"/>
      <c r="J90" s="20">
        <f t="shared" si="3"/>
        <v>0</v>
      </c>
      <c r="K90" s="20">
        <f t="shared" si="4"/>
        <v>62225.220000000008</v>
      </c>
    </row>
    <row r="91" spans="2:12" ht="18.75" x14ac:dyDescent="0.3">
      <c r="B91" s="48">
        <v>44494</v>
      </c>
      <c r="C91" s="21" t="s">
        <v>760</v>
      </c>
      <c r="D91" s="34"/>
      <c r="E91" s="18"/>
      <c r="F91" s="18"/>
      <c r="G91" s="18"/>
      <c r="H91" s="18">
        <v>700</v>
      </c>
      <c r="I91" s="19"/>
      <c r="J91" s="20">
        <f t="shared" si="3"/>
        <v>0</v>
      </c>
      <c r="K91" s="20">
        <f t="shared" si="4"/>
        <v>61525.220000000008</v>
      </c>
    </row>
    <row r="92" spans="2:12" ht="18.75" x14ac:dyDescent="0.3">
      <c r="B92" s="48">
        <v>44494</v>
      </c>
      <c r="C92" s="17" t="s">
        <v>35</v>
      </c>
      <c r="D92" s="34"/>
      <c r="E92" s="18"/>
      <c r="F92" s="18"/>
      <c r="G92" s="18"/>
      <c r="H92" s="18">
        <v>86</v>
      </c>
      <c r="I92" s="19"/>
      <c r="J92" s="20">
        <f t="shared" si="3"/>
        <v>0</v>
      </c>
      <c r="K92" s="20">
        <f t="shared" si="4"/>
        <v>61439.220000000008</v>
      </c>
    </row>
    <row r="93" spans="2:12" ht="18.75" x14ac:dyDescent="0.3">
      <c r="B93" s="49">
        <v>44494</v>
      </c>
      <c r="C93" s="17" t="s">
        <v>761</v>
      </c>
      <c r="D93" s="50"/>
      <c r="E93" s="18"/>
      <c r="F93" s="18"/>
      <c r="G93" s="18"/>
      <c r="H93" s="18">
        <v>500</v>
      </c>
      <c r="I93" s="19"/>
      <c r="J93" s="20">
        <f t="shared" si="3"/>
        <v>0</v>
      </c>
      <c r="K93" s="20">
        <f t="shared" si="4"/>
        <v>60939.220000000008</v>
      </c>
    </row>
    <row r="94" spans="2:12" ht="18.75" x14ac:dyDescent="0.3">
      <c r="B94" s="49">
        <v>44494</v>
      </c>
      <c r="C94" s="21" t="s">
        <v>750</v>
      </c>
      <c r="D94" s="34"/>
      <c r="E94" s="18"/>
      <c r="F94" s="18"/>
      <c r="G94" s="18"/>
      <c r="H94" s="18">
        <v>196.9</v>
      </c>
      <c r="I94" s="19"/>
      <c r="J94" s="20">
        <f t="shared" si="3"/>
        <v>0</v>
      </c>
      <c r="K94" s="20">
        <f t="shared" si="4"/>
        <v>60742.320000000007</v>
      </c>
      <c r="L94" s="1"/>
    </row>
    <row r="95" spans="2:12" ht="18.75" x14ac:dyDescent="0.3">
      <c r="B95" s="49">
        <v>44494</v>
      </c>
      <c r="C95" s="21" t="s">
        <v>642</v>
      </c>
      <c r="D95" s="34"/>
      <c r="E95" s="18"/>
      <c r="F95" s="18"/>
      <c r="G95" s="18"/>
      <c r="H95" s="18">
        <v>237.6</v>
      </c>
      <c r="I95" s="19"/>
      <c r="J95" s="20">
        <f t="shared" ref="J95:J100" si="5">+J94+E95-G95</f>
        <v>0</v>
      </c>
      <c r="K95" s="20">
        <f t="shared" ref="K95:K100" si="6">+K94+D95-H95</f>
        <v>60504.720000000008</v>
      </c>
      <c r="L95" s="1"/>
    </row>
    <row r="96" spans="2:12" ht="18.75" x14ac:dyDescent="0.3">
      <c r="B96" s="42">
        <v>44494</v>
      </c>
      <c r="C96" s="43" t="s">
        <v>763</v>
      </c>
      <c r="D96" s="34"/>
      <c r="E96" s="18"/>
      <c r="F96" s="18"/>
      <c r="G96" s="18"/>
      <c r="H96" s="18">
        <v>66</v>
      </c>
      <c r="I96" s="19"/>
      <c r="J96" s="20">
        <f t="shared" si="5"/>
        <v>0</v>
      </c>
      <c r="K96" s="20">
        <f t="shared" si="6"/>
        <v>60438.720000000008</v>
      </c>
      <c r="L96" s="1"/>
    </row>
    <row r="97" spans="2:12" ht="18.75" x14ac:dyDescent="0.3">
      <c r="B97" s="44">
        <v>44496</v>
      </c>
      <c r="C97" s="43" t="s">
        <v>755</v>
      </c>
      <c r="D97" s="34"/>
      <c r="E97" s="18"/>
      <c r="F97" s="18"/>
      <c r="G97" s="18"/>
      <c r="H97" s="18">
        <v>140</v>
      </c>
      <c r="I97" s="19"/>
      <c r="J97" s="20">
        <f t="shared" si="5"/>
        <v>0</v>
      </c>
      <c r="K97" s="20">
        <f t="shared" si="6"/>
        <v>60298.720000000008</v>
      </c>
      <c r="L97" s="1"/>
    </row>
    <row r="98" spans="2:12" ht="18.75" x14ac:dyDescent="0.3">
      <c r="B98" s="22">
        <v>44496</v>
      </c>
      <c r="C98" s="43" t="s">
        <v>755</v>
      </c>
      <c r="D98" s="34"/>
      <c r="E98" s="18"/>
      <c r="F98" s="18"/>
      <c r="G98" s="18"/>
      <c r="H98" s="18">
        <v>20</v>
      </c>
      <c r="I98" s="19"/>
      <c r="J98" s="20">
        <f t="shared" si="5"/>
        <v>0</v>
      </c>
      <c r="K98" s="20">
        <f t="shared" si="6"/>
        <v>60278.720000000008</v>
      </c>
      <c r="L98" s="1"/>
    </row>
    <row r="99" spans="2:12" ht="18.75" x14ac:dyDescent="0.3">
      <c r="B99" s="42">
        <v>44497</v>
      </c>
      <c r="C99" s="43" t="s">
        <v>764</v>
      </c>
      <c r="D99" s="34"/>
      <c r="E99" s="18"/>
      <c r="F99" s="18"/>
      <c r="G99" s="18"/>
      <c r="H99" s="18">
        <v>25</v>
      </c>
      <c r="I99" s="19"/>
      <c r="J99" s="20">
        <f t="shared" si="5"/>
        <v>0</v>
      </c>
      <c r="K99" s="20">
        <f t="shared" si="6"/>
        <v>60253.720000000008</v>
      </c>
      <c r="L99" s="1"/>
    </row>
    <row r="100" spans="2:12" ht="18.75" x14ac:dyDescent="0.3">
      <c r="B100" s="44">
        <v>44497</v>
      </c>
      <c r="C100" s="43" t="s">
        <v>766</v>
      </c>
      <c r="D100" s="34"/>
      <c r="E100" s="18"/>
      <c r="F100" s="18"/>
      <c r="G100" s="18"/>
      <c r="H100" s="18">
        <v>58</v>
      </c>
      <c r="I100" s="19"/>
      <c r="J100" s="20">
        <f t="shared" si="5"/>
        <v>0</v>
      </c>
      <c r="K100" s="20">
        <f t="shared" si="6"/>
        <v>60195.720000000008</v>
      </c>
    </row>
    <row r="101" spans="2:12" ht="18.75" x14ac:dyDescent="0.3">
      <c r="B101" s="44">
        <v>44497</v>
      </c>
      <c r="C101" s="43" t="s">
        <v>765</v>
      </c>
      <c r="D101" s="34"/>
      <c r="E101" s="18"/>
      <c r="F101" s="18"/>
      <c r="G101" s="18"/>
      <c r="H101" s="18">
        <v>2000</v>
      </c>
      <c r="I101" s="19"/>
      <c r="J101" s="20">
        <f t="shared" si="3"/>
        <v>0</v>
      </c>
      <c r="K101" s="20">
        <f t="shared" si="4"/>
        <v>58195.720000000008</v>
      </c>
    </row>
    <row r="102" spans="2:12" ht="18.75" x14ac:dyDescent="0.3">
      <c r="B102" s="49">
        <v>44498</v>
      </c>
      <c r="C102" s="21" t="s">
        <v>767</v>
      </c>
      <c r="D102" s="34"/>
      <c r="E102" s="18"/>
      <c r="F102" s="18"/>
      <c r="G102" s="18"/>
      <c r="H102" s="18">
        <v>299</v>
      </c>
      <c r="I102" s="19"/>
      <c r="J102" s="20">
        <f t="shared" si="3"/>
        <v>0</v>
      </c>
      <c r="K102" s="20">
        <f t="shared" si="4"/>
        <v>57896.720000000008</v>
      </c>
    </row>
    <row r="103" spans="2:12" ht="19.5" thickBot="1" x14ac:dyDescent="0.35">
      <c r="B103" s="49">
        <v>44498</v>
      </c>
      <c r="C103" s="21" t="s">
        <v>740</v>
      </c>
      <c r="D103" s="34"/>
      <c r="E103" s="18"/>
      <c r="F103" s="18"/>
      <c r="G103" s="18"/>
      <c r="H103" s="18">
        <v>129</v>
      </c>
      <c r="I103" s="19"/>
      <c r="J103" s="20">
        <f t="shared" si="3"/>
        <v>0</v>
      </c>
      <c r="K103" s="20">
        <f t="shared" si="4"/>
        <v>57767.720000000008</v>
      </c>
    </row>
    <row r="104" spans="2:12" ht="19.5" thickBot="1" x14ac:dyDescent="0.35">
      <c r="B104" s="25"/>
      <c r="C104" s="26" t="s">
        <v>0</v>
      </c>
      <c r="D104" s="27">
        <f>SUM(D55:D103)</f>
        <v>124475</v>
      </c>
      <c r="E104" s="28">
        <f>SUM(E55:E103)</f>
        <v>0</v>
      </c>
      <c r="F104" s="29">
        <f>SUM(D104:E104)</f>
        <v>124475</v>
      </c>
      <c r="G104" s="30">
        <f>SUM(G55:G103)</f>
        <v>0</v>
      </c>
      <c r="H104" s="27">
        <f>SUM(H55:H103)</f>
        <v>91300.299999999988</v>
      </c>
      <c r="I104" s="29">
        <f>SUM(G104:H104)</f>
        <v>91300.299999999988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0</v>
      </c>
      <c r="E107" s="28">
        <v>0</v>
      </c>
      <c r="F107" s="29">
        <v>0</v>
      </c>
      <c r="G107" s="30">
        <v>0</v>
      </c>
      <c r="H107" s="27">
        <v>0</v>
      </c>
      <c r="I107" s="29">
        <v>0</v>
      </c>
      <c r="J107" s="53">
        <v>0</v>
      </c>
      <c r="K107" s="53">
        <v>0</v>
      </c>
      <c r="L107" s="3"/>
    </row>
    <row r="108" spans="2:12" ht="18.75" x14ac:dyDescent="0.3">
      <c r="B108" s="49">
        <v>44498</v>
      </c>
      <c r="C108" s="21" t="s">
        <v>768</v>
      </c>
      <c r="D108" s="34"/>
      <c r="E108" s="18"/>
      <c r="F108" s="34"/>
      <c r="G108" s="18"/>
      <c r="H108" s="18">
        <v>600</v>
      </c>
      <c r="I108" s="19"/>
      <c r="J108" s="20">
        <f>+J103+E108-G108</f>
        <v>0</v>
      </c>
      <c r="K108" s="20">
        <f>+K103+D108-H108</f>
        <v>57167.720000000008</v>
      </c>
    </row>
    <row r="109" spans="2:12" ht="18.75" x14ac:dyDescent="0.3">
      <c r="B109" s="49">
        <v>44498</v>
      </c>
      <c r="C109" s="21" t="s">
        <v>670</v>
      </c>
      <c r="D109" s="34"/>
      <c r="E109" s="18"/>
      <c r="F109" s="34"/>
      <c r="G109" s="18"/>
      <c r="H109" s="18">
        <v>300</v>
      </c>
      <c r="I109" s="19"/>
      <c r="J109" s="20">
        <f t="shared" ref="J109:J110" si="7">+J108+E109-G109</f>
        <v>0</v>
      </c>
      <c r="K109" s="20">
        <f t="shared" ref="K109:K110" si="8">+K108+D109-H109</f>
        <v>56867.720000000008</v>
      </c>
    </row>
    <row r="110" spans="2:12" ht="18.75" x14ac:dyDescent="0.3">
      <c r="B110" s="49">
        <v>44499</v>
      </c>
      <c r="C110" s="21" t="s">
        <v>198</v>
      </c>
      <c r="D110" s="34"/>
      <c r="E110" s="18"/>
      <c r="F110" s="34"/>
      <c r="G110" s="18"/>
      <c r="H110" s="18">
        <v>56</v>
      </c>
      <c r="I110" s="19"/>
      <c r="J110" s="20">
        <f t="shared" si="7"/>
        <v>0</v>
      </c>
      <c r="K110" s="20">
        <f t="shared" si="8"/>
        <v>56811.720000000008</v>
      </c>
    </row>
    <row r="111" spans="2:12" ht="18.75" x14ac:dyDescent="0.3">
      <c r="B111" s="49">
        <v>44499</v>
      </c>
      <c r="C111" s="21" t="s">
        <v>769</v>
      </c>
      <c r="D111" s="34"/>
      <c r="E111" s="18"/>
      <c r="F111" s="34"/>
      <c r="G111" s="18"/>
      <c r="H111" s="18">
        <v>33</v>
      </c>
      <c r="I111" s="19"/>
      <c r="J111" s="20">
        <f t="shared" ref="J111:J130" si="9">+J110+E111-G111</f>
        <v>0</v>
      </c>
      <c r="K111" s="20">
        <f t="shared" ref="K111:K130" si="10">+K110+D111-H111</f>
        <v>56778.720000000008</v>
      </c>
    </row>
    <row r="112" spans="2:12" ht="18.75" x14ac:dyDescent="0.3">
      <c r="B112" s="49">
        <v>44499</v>
      </c>
      <c r="C112" s="21" t="s">
        <v>769</v>
      </c>
      <c r="D112" s="34"/>
      <c r="E112" s="18"/>
      <c r="F112" s="34"/>
      <c r="G112" s="18"/>
      <c r="H112" s="18">
        <v>20.5</v>
      </c>
      <c r="I112" s="19"/>
      <c r="J112" s="20">
        <f t="shared" si="9"/>
        <v>0</v>
      </c>
      <c r="K112" s="20">
        <f t="shared" si="10"/>
        <v>56758.220000000008</v>
      </c>
    </row>
    <row r="113" spans="2:13" ht="18.75" x14ac:dyDescent="0.3">
      <c r="B113" s="49">
        <v>44499</v>
      </c>
      <c r="C113" s="21" t="s">
        <v>300</v>
      </c>
      <c r="D113" s="34"/>
      <c r="E113" s="18"/>
      <c r="F113" s="34"/>
      <c r="G113" s="18"/>
      <c r="H113" s="18">
        <v>59.9</v>
      </c>
      <c r="I113" s="19"/>
      <c r="J113" s="20">
        <f t="shared" si="9"/>
        <v>0</v>
      </c>
      <c r="K113" s="20">
        <f t="shared" si="10"/>
        <v>56698.320000000007</v>
      </c>
    </row>
    <row r="114" spans="2:13" ht="18.75" x14ac:dyDescent="0.3">
      <c r="B114" s="49">
        <v>44499</v>
      </c>
      <c r="C114" s="21" t="s">
        <v>770</v>
      </c>
      <c r="D114" s="34"/>
      <c r="E114" s="18"/>
      <c r="F114" s="34"/>
      <c r="G114" s="18"/>
      <c r="H114" s="18">
        <v>950</v>
      </c>
      <c r="I114" s="19"/>
      <c r="J114" s="20">
        <f t="shared" si="9"/>
        <v>0</v>
      </c>
      <c r="K114" s="20">
        <f t="shared" si="10"/>
        <v>55748.320000000007</v>
      </c>
    </row>
    <row r="115" spans="2:13" ht="18.75" x14ac:dyDescent="0.3">
      <c r="B115" s="49">
        <v>44499</v>
      </c>
      <c r="C115" s="21" t="s">
        <v>771</v>
      </c>
      <c r="D115" s="34"/>
      <c r="E115" s="18"/>
      <c r="F115" s="34"/>
      <c r="G115" s="18"/>
      <c r="H115" s="18">
        <v>500</v>
      </c>
      <c r="I115" s="19"/>
      <c r="J115" s="20">
        <f t="shared" si="9"/>
        <v>0</v>
      </c>
      <c r="K115" s="20">
        <f t="shared" si="10"/>
        <v>55248.320000000007</v>
      </c>
    </row>
    <row r="116" spans="2:13" ht="18.75" x14ac:dyDescent="0.3">
      <c r="B116" s="49">
        <v>44500</v>
      </c>
      <c r="C116" s="21" t="s">
        <v>644</v>
      </c>
      <c r="D116" s="34"/>
      <c r="E116" s="18"/>
      <c r="F116" s="34"/>
      <c r="G116" s="18"/>
      <c r="H116" s="18">
        <v>100</v>
      </c>
      <c r="I116" s="19"/>
      <c r="J116" s="20">
        <f t="shared" si="9"/>
        <v>0</v>
      </c>
      <c r="K116" s="20">
        <f t="shared" si="10"/>
        <v>55148.320000000007</v>
      </c>
    </row>
    <row r="117" spans="2:13" ht="18.75" x14ac:dyDescent="0.3">
      <c r="B117" s="49">
        <v>44500</v>
      </c>
      <c r="C117" s="21" t="s">
        <v>445</v>
      </c>
      <c r="D117" s="34"/>
      <c r="E117" s="18"/>
      <c r="F117" s="34"/>
      <c r="G117" s="18"/>
      <c r="H117" s="18">
        <v>250</v>
      </c>
      <c r="I117" s="19"/>
      <c r="J117" s="20">
        <f t="shared" si="9"/>
        <v>0</v>
      </c>
      <c r="K117" s="20">
        <f t="shared" si="10"/>
        <v>54898.320000000007</v>
      </c>
    </row>
    <row r="118" spans="2:13" ht="18.75" x14ac:dyDescent="0.3">
      <c r="B118" s="49">
        <v>44500</v>
      </c>
      <c r="C118" s="21" t="s">
        <v>773</v>
      </c>
      <c r="D118" s="34"/>
      <c r="E118" s="18"/>
      <c r="F118" s="34"/>
      <c r="G118" s="18"/>
      <c r="H118" s="18">
        <v>150</v>
      </c>
      <c r="I118" s="19"/>
      <c r="J118" s="20">
        <f t="shared" si="9"/>
        <v>0</v>
      </c>
      <c r="K118" s="20">
        <f t="shared" si="10"/>
        <v>54748.320000000007</v>
      </c>
    </row>
    <row r="119" spans="2:13" ht="18.75" x14ac:dyDescent="0.3">
      <c r="B119" s="49">
        <v>44500</v>
      </c>
      <c r="C119" s="21" t="s">
        <v>772</v>
      </c>
      <c r="D119" s="34"/>
      <c r="E119" s="18"/>
      <c r="F119" s="34"/>
      <c r="G119" s="18"/>
      <c r="H119" s="18">
        <v>100</v>
      </c>
      <c r="I119" s="19"/>
      <c r="J119" s="20">
        <f t="shared" si="9"/>
        <v>0</v>
      </c>
      <c r="K119" s="20">
        <f t="shared" si="10"/>
        <v>54648.320000000007</v>
      </c>
    </row>
    <row r="120" spans="2:13" ht="18.75" x14ac:dyDescent="0.3">
      <c r="B120" s="49">
        <v>44500</v>
      </c>
      <c r="C120" s="21" t="s">
        <v>774</v>
      </c>
      <c r="D120" s="34"/>
      <c r="E120" s="18"/>
      <c r="F120" s="34"/>
      <c r="G120" s="18"/>
      <c r="H120" s="18">
        <v>99</v>
      </c>
      <c r="I120" s="19"/>
      <c r="J120" s="20">
        <f t="shared" si="9"/>
        <v>0</v>
      </c>
      <c r="K120" s="20">
        <f t="shared" si="10"/>
        <v>54549.320000000007</v>
      </c>
    </row>
    <row r="121" spans="2:13" ht="18.75" x14ac:dyDescent="0.3">
      <c r="B121" s="49">
        <v>44500</v>
      </c>
      <c r="C121" s="21" t="s">
        <v>762</v>
      </c>
      <c r="D121" s="34">
        <v>25600</v>
      </c>
      <c r="E121" s="18"/>
      <c r="F121" s="34"/>
      <c r="G121" s="18"/>
      <c r="H121" s="18"/>
      <c r="I121" s="19"/>
      <c r="J121" s="20">
        <f t="shared" si="9"/>
        <v>0</v>
      </c>
      <c r="K121" s="20">
        <f t="shared" si="10"/>
        <v>80149.320000000007</v>
      </c>
    </row>
    <row r="122" spans="2:13" ht="18.75" x14ac:dyDescent="0.3">
      <c r="B122" s="49">
        <v>44500</v>
      </c>
      <c r="C122" s="21" t="s">
        <v>184</v>
      </c>
      <c r="D122" s="34"/>
      <c r="E122" s="34"/>
      <c r="F122" s="34"/>
      <c r="G122" s="18"/>
      <c r="H122" s="18">
        <v>250</v>
      </c>
      <c r="I122" s="19"/>
      <c r="J122" s="20">
        <f t="shared" si="9"/>
        <v>0</v>
      </c>
      <c r="K122" s="20">
        <f t="shared" si="10"/>
        <v>79899.320000000007</v>
      </c>
    </row>
    <row r="123" spans="2:13" ht="18.75" x14ac:dyDescent="0.3">
      <c r="B123" s="49">
        <v>44500</v>
      </c>
      <c r="C123" s="21" t="s">
        <v>711</v>
      </c>
      <c r="D123" s="34"/>
      <c r="E123" s="34"/>
      <c r="F123" s="34"/>
      <c r="G123" s="18"/>
      <c r="H123" s="18">
        <v>300</v>
      </c>
      <c r="I123" s="19"/>
      <c r="J123" s="20">
        <f t="shared" si="9"/>
        <v>0</v>
      </c>
      <c r="K123" s="20">
        <f t="shared" si="10"/>
        <v>79599.320000000007</v>
      </c>
    </row>
    <row r="124" spans="2:13" ht="18.75" x14ac:dyDescent="0.3">
      <c r="B124" s="49">
        <v>44500</v>
      </c>
      <c r="C124" s="21" t="s">
        <v>186</v>
      </c>
      <c r="D124" s="34"/>
      <c r="E124" s="34"/>
      <c r="F124" s="34"/>
      <c r="G124" s="18"/>
      <c r="H124" s="18">
        <v>650</v>
      </c>
      <c r="I124" s="19"/>
      <c r="J124" s="20">
        <f t="shared" si="9"/>
        <v>0</v>
      </c>
      <c r="K124" s="20">
        <f t="shared" si="10"/>
        <v>78949.320000000007</v>
      </c>
      <c r="M124">
        <v>250</v>
      </c>
    </row>
    <row r="125" spans="2:13" ht="18.75" x14ac:dyDescent="0.3">
      <c r="B125" s="49">
        <v>44500</v>
      </c>
      <c r="C125" s="21" t="s">
        <v>80</v>
      </c>
      <c r="D125" s="34"/>
      <c r="E125" s="34"/>
      <c r="F125" s="34"/>
      <c r="G125" s="18"/>
      <c r="H125" s="18">
        <v>3400</v>
      </c>
      <c r="I125" s="19"/>
      <c r="J125" s="20">
        <f t="shared" si="9"/>
        <v>0</v>
      </c>
      <c r="K125" s="20">
        <f t="shared" si="10"/>
        <v>75549.320000000007</v>
      </c>
    </row>
    <row r="126" spans="2:13" ht="18.75" x14ac:dyDescent="0.3">
      <c r="B126" s="49">
        <v>44500</v>
      </c>
      <c r="C126" s="24" t="s">
        <v>775</v>
      </c>
      <c r="D126" s="34">
        <v>9000</v>
      </c>
      <c r="E126" s="34"/>
      <c r="F126" s="34"/>
      <c r="G126" s="18"/>
      <c r="H126" s="18"/>
      <c r="I126" s="19"/>
      <c r="J126" s="20">
        <f t="shared" si="9"/>
        <v>0</v>
      </c>
      <c r="K126" s="20">
        <f t="shared" si="10"/>
        <v>84549.32</v>
      </c>
    </row>
    <row r="127" spans="2:13" ht="18.75" x14ac:dyDescent="0.3">
      <c r="B127" s="49">
        <v>44500</v>
      </c>
      <c r="C127" s="24" t="s">
        <v>88</v>
      </c>
      <c r="D127" s="34"/>
      <c r="E127" s="18"/>
      <c r="F127" s="18"/>
      <c r="G127" s="18"/>
      <c r="H127" s="18">
        <v>9000</v>
      </c>
      <c r="I127" s="19"/>
      <c r="J127" s="20">
        <f t="shared" si="9"/>
        <v>0</v>
      </c>
      <c r="K127" s="20">
        <f t="shared" si="10"/>
        <v>75549.320000000007</v>
      </c>
    </row>
    <row r="128" spans="2:13" ht="18.75" x14ac:dyDescent="0.3">
      <c r="B128" s="49">
        <v>44500</v>
      </c>
      <c r="C128" s="24" t="s">
        <v>89</v>
      </c>
      <c r="D128" s="34"/>
      <c r="E128" s="18"/>
      <c r="F128" s="18"/>
      <c r="G128" s="18"/>
      <c r="H128" s="18">
        <v>33800</v>
      </c>
      <c r="I128" s="19"/>
      <c r="J128" s="20">
        <f t="shared" si="9"/>
        <v>0</v>
      </c>
      <c r="K128" s="20">
        <f t="shared" si="10"/>
        <v>41749.320000000007</v>
      </c>
    </row>
    <row r="129" spans="2:13" ht="18.75" x14ac:dyDescent="0.3">
      <c r="B129" s="49">
        <v>44500</v>
      </c>
      <c r="C129" s="43" t="s">
        <v>84</v>
      </c>
      <c r="D129" s="34"/>
      <c r="E129" s="18"/>
      <c r="F129" s="18"/>
      <c r="G129" s="18"/>
      <c r="H129" s="18">
        <v>5650</v>
      </c>
      <c r="I129" s="19"/>
      <c r="J129" s="20">
        <f t="shared" si="9"/>
        <v>0</v>
      </c>
      <c r="K129" s="20">
        <f t="shared" si="10"/>
        <v>36099.320000000007</v>
      </c>
    </row>
    <row r="130" spans="2:13" ht="19.5" thickBot="1" x14ac:dyDescent="0.35">
      <c r="B130" s="49"/>
      <c r="C130" s="24"/>
      <c r="D130" s="34"/>
      <c r="E130" s="18"/>
      <c r="F130" s="18"/>
      <c r="G130" s="18"/>
      <c r="H130" s="18"/>
      <c r="I130" s="19"/>
      <c r="J130" s="20">
        <f t="shared" si="9"/>
        <v>0</v>
      </c>
      <c r="K130" s="20">
        <f t="shared" si="10"/>
        <v>36099.320000000007</v>
      </c>
    </row>
    <row r="131" spans="2:13" ht="19.5" thickBot="1" x14ac:dyDescent="0.35">
      <c r="B131" s="25"/>
      <c r="C131" s="26" t="s">
        <v>0</v>
      </c>
      <c r="D131" s="27">
        <f>SUM(D107:D130)</f>
        <v>34600</v>
      </c>
      <c r="E131" s="28">
        <f>SUM(E107:E130)</f>
        <v>0</v>
      </c>
      <c r="F131" s="29">
        <f>SUM(D131:E131)</f>
        <v>34600</v>
      </c>
      <c r="G131" s="30">
        <f>SUM(G64:G130)</f>
        <v>0</v>
      </c>
      <c r="H131" s="27">
        <f>SUM(H107:H130)</f>
        <v>56268.4</v>
      </c>
      <c r="I131" s="29">
        <f>SUM(G131:H131)</f>
        <v>56268.4</v>
      </c>
      <c r="J131" s="31"/>
      <c r="K131" s="31"/>
      <c r="L131" s="1"/>
      <c r="M131" s="4"/>
    </row>
    <row r="132" spans="2:13" ht="19.5" thickBot="1" x14ac:dyDescent="0.3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03"/>
    </row>
    <row r="133" spans="2:13" ht="19.5" thickBot="1" x14ac:dyDescent="0.35">
      <c r="B133" s="5"/>
      <c r="C133" s="5"/>
      <c r="D133" s="5"/>
      <c r="E133" s="5"/>
      <c r="F133" s="5"/>
      <c r="G133" s="5"/>
      <c r="H133" s="5"/>
      <c r="I133" s="35" t="s">
        <v>7</v>
      </c>
      <c r="J133" s="35" t="s">
        <v>6</v>
      </c>
      <c r="K133" s="36" t="s">
        <v>0</v>
      </c>
      <c r="L133" s="1"/>
    </row>
    <row r="134" spans="2:13" ht="19.5" thickBot="1" x14ac:dyDescent="0.35">
      <c r="B134" s="5"/>
      <c r="C134" s="5"/>
      <c r="D134" s="5"/>
      <c r="E134" s="5"/>
      <c r="F134" s="5"/>
      <c r="G134" s="5"/>
      <c r="H134" s="5"/>
      <c r="I134" s="37">
        <v>0</v>
      </c>
      <c r="J134" s="37">
        <v>36099.32</v>
      </c>
      <c r="K134" s="31">
        <f>SUM(I134:J134)</f>
        <v>36099.32</v>
      </c>
      <c r="L134" s="1"/>
    </row>
    <row r="137" spans="2:13" ht="18.75" x14ac:dyDescent="0.3">
      <c r="K137" s="84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L165"/>
  <sheetViews>
    <sheetView zoomScale="80" zoomScaleNormal="80" workbookViewId="0">
      <pane ySplit="3" topLeftCell="A107" activePane="bottomLeft" state="frozen"/>
      <selection activeCell="B1" sqref="B1"/>
      <selection pane="bottomLeft" activeCell="B107" sqref="B107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11" width="13" customWidth="1"/>
    <col min="12" max="12" width="11.42578125" bestFit="1" customWidth="1"/>
    <col min="13" max="13" width="12.7109375" bestFit="1" customWidth="1"/>
  </cols>
  <sheetData>
    <row r="1" spans="2:12" ht="19.5" thickBot="1" x14ac:dyDescent="0.35">
      <c r="B1" s="39"/>
      <c r="C1" s="6" t="s">
        <v>30</v>
      </c>
      <c r="D1" s="5"/>
      <c r="E1" s="5"/>
      <c r="F1" s="5"/>
      <c r="G1" s="5"/>
      <c r="H1" s="5"/>
      <c r="I1" s="5"/>
      <c r="J1" s="5"/>
      <c r="K1" s="5"/>
    </row>
    <row r="2" spans="2:12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2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2" ht="18.75" x14ac:dyDescent="0.3">
      <c r="B4" s="52">
        <v>44500</v>
      </c>
      <c r="C4" s="12" t="s">
        <v>31</v>
      </c>
      <c r="D4" s="13"/>
      <c r="E4" s="14"/>
      <c r="F4" s="14"/>
      <c r="G4" s="14"/>
      <c r="H4" s="15"/>
      <c r="I4" s="16"/>
      <c r="J4" s="53">
        <v>0</v>
      </c>
      <c r="K4" s="53">
        <v>36099.32</v>
      </c>
      <c r="L4" s="1"/>
    </row>
    <row r="5" spans="2:12" ht="18.75" x14ac:dyDescent="0.3">
      <c r="B5" s="11">
        <v>44502</v>
      </c>
      <c r="C5" s="40" t="s">
        <v>783</v>
      </c>
      <c r="D5" s="13"/>
      <c r="E5" s="14"/>
      <c r="F5" s="14"/>
      <c r="G5" s="14"/>
      <c r="H5" s="15">
        <v>98</v>
      </c>
      <c r="I5" s="16"/>
      <c r="J5" s="20">
        <f>+J4+E5-G5</f>
        <v>0</v>
      </c>
      <c r="K5" s="20">
        <f>+K4+D5-H5</f>
        <v>36001.32</v>
      </c>
    </row>
    <row r="6" spans="2:12" ht="18.75" x14ac:dyDescent="0.3">
      <c r="B6" s="11">
        <v>44503</v>
      </c>
      <c r="C6" s="17" t="s">
        <v>784</v>
      </c>
      <c r="D6" s="34"/>
      <c r="E6" s="18"/>
      <c r="F6" s="18"/>
      <c r="G6" s="18"/>
      <c r="H6" s="18">
        <v>300</v>
      </c>
      <c r="I6" s="19"/>
      <c r="J6" s="20">
        <f t="shared" ref="J6:J45" si="0">+J5+E6-G6</f>
        <v>0</v>
      </c>
      <c r="K6" s="20">
        <f t="shared" ref="K6:K45" si="1">+K5+D6-H6</f>
        <v>35701.32</v>
      </c>
    </row>
    <row r="7" spans="2:12" ht="18.75" x14ac:dyDescent="0.3">
      <c r="B7" s="22">
        <v>44503</v>
      </c>
      <c r="C7" s="21" t="s">
        <v>785</v>
      </c>
      <c r="D7" s="34"/>
      <c r="E7" s="18"/>
      <c r="F7" s="18"/>
      <c r="G7" s="18"/>
      <c r="H7" s="18">
        <v>46.5</v>
      </c>
      <c r="I7" s="19"/>
      <c r="J7" s="20">
        <f t="shared" si="0"/>
        <v>0</v>
      </c>
      <c r="K7" s="20">
        <f t="shared" si="1"/>
        <v>35654.82</v>
      </c>
    </row>
    <row r="8" spans="2:12" ht="18.75" x14ac:dyDescent="0.3">
      <c r="B8" s="22">
        <v>44506</v>
      </c>
      <c r="C8" s="41" t="s">
        <v>786</v>
      </c>
      <c r="D8" s="34"/>
      <c r="E8" s="18"/>
      <c r="F8" s="18"/>
      <c r="G8" s="18"/>
      <c r="H8" s="18">
        <v>545.75</v>
      </c>
      <c r="I8" s="19"/>
      <c r="J8" s="20">
        <f t="shared" si="0"/>
        <v>0</v>
      </c>
      <c r="K8" s="20">
        <f t="shared" si="1"/>
        <v>35109.07</v>
      </c>
    </row>
    <row r="9" spans="2:12" ht="18.75" x14ac:dyDescent="0.3">
      <c r="B9" s="22">
        <v>44506</v>
      </c>
      <c r="C9" s="21" t="s">
        <v>787</v>
      </c>
      <c r="D9" s="34"/>
      <c r="E9" s="18"/>
      <c r="F9" s="18"/>
      <c r="G9" s="18"/>
      <c r="H9" s="18">
        <v>144.06</v>
      </c>
      <c r="I9" s="19"/>
      <c r="J9" s="20">
        <f t="shared" si="0"/>
        <v>0</v>
      </c>
      <c r="K9" s="20">
        <f t="shared" si="1"/>
        <v>34965.01</v>
      </c>
    </row>
    <row r="10" spans="2:12" ht="18.75" x14ac:dyDescent="0.3">
      <c r="B10" s="22">
        <v>44506</v>
      </c>
      <c r="C10" s="21" t="s">
        <v>788</v>
      </c>
      <c r="D10" s="34"/>
      <c r="E10" s="18"/>
      <c r="F10" s="18"/>
      <c r="G10" s="18"/>
      <c r="H10" s="18">
        <v>250</v>
      </c>
      <c r="I10" s="19"/>
      <c r="J10" s="20">
        <f t="shared" si="0"/>
        <v>0</v>
      </c>
      <c r="K10" s="20">
        <f t="shared" si="1"/>
        <v>34715.01</v>
      </c>
    </row>
    <row r="11" spans="2:12" ht="18.75" x14ac:dyDescent="0.3">
      <c r="B11" s="22">
        <v>44506</v>
      </c>
      <c r="C11" s="41" t="s">
        <v>789</v>
      </c>
      <c r="D11" s="34"/>
      <c r="E11" s="18"/>
      <c r="F11" s="18"/>
      <c r="G11" s="18"/>
      <c r="H11" s="18">
        <v>172</v>
      </c>
      <c r="I11" s="19"/>
      <c r="J11" s="20">
        <f t="shared" si="0"/>
        <v>0</v>
      </c>
      <c r="K11" s="20">
        <f t="shared" si="1"/>
        <v>34543.01</v>
      </c>
    </row>
    <row r="12" spans="2:12" ht="18.75" x14ac:dyDescent="0.3">
      <c r="B12" s="22">
        <v>44506</v>
      </c>
      <c r="C12" s="24" t="s">
        <v>790</v>
      </c>
      <c r="D12" s="34"/>
      <c r="E12" s="18"/>
      <c r="F12" s="18"/>
      <c r="G12" s="18"/>
      <c r="H12" s="18">
        <v>70</v>
      </c>
      <c r="I12" s="19"/>
      <c r="J12" s="20">
        <f t="shared" si="0"/>
        <v>0</v>
      </c>
      <c r="K12" s="20">
        <f t="shared" si="1"/>
        <v>34473.01</v>
      </c>
    </row>
    <row r="13" spans="2:12" ht="18.75" x14ac:dyDescent="0.3">
      <c r="B13" s="22">
        <v>44506</v>
      </c>
      <c r="C13" s="21" t="s">
        <v>791</v>
      </c>
      <c r="D13" s="34"/>
      <c r="E13" s="18"/>
      <c r="F13" s="18"/>
      <c r="G13" s="18"/>
      <c r="H13" s="18">
        <v>599</v>
      </c>
      <c r="I13" s="19"/>
      <c r="J13" s="20">
        <f t="shared" si="0"/>
        <v>0</v>
      </c>
      <c r="K13" s="20">
        <f t="shared" si="1"/>
        <v>33874.01</v>
      </c>
    </row>
    <row r="14" spans="2:12" ht="18.75" x14ac:dyDescent="0.3">
      <c r="B14" s="22">
        <v>44507</v>
      </c>
      <c r="C14" s="21" t="s">
        <v>464</v>
      </c>
      <c r="D14" s="34"/>
      <c r="E14" s="18"/>
      <c r="F14" s="18"/>
      <c r="G14" s="18"/>
      <c r="H14" s="18">
        <v>100</v>
      </c>
      <c r="I14" s="19"/>
      <c r="J14" s="20">
        <f t="shared" si="0"/>
        <v>0</v>
      </c>
      <c r="K14" s="20">
        <f t="shared" si="1"/>
        <v>33774.01</v>
      </c>
    </row>
    <row r="15" spans="2:12" ht="18.75" x14ac:dyDescent="0.3">
      <c r="B15" s="22">
        <v>44507</v>
      </c>
      <c r="C15" s="21" t="s">
        <v>792</v>
      </c>
      <c r="D15" s="34"/>
      <c r="E15" s="18"/>
      <c r="F15" s="18"/>
      <c r="G15" s="18"/>
      <c r="H15" s="18">
        <v>200</v>
      </c>
      <c r="I15" s="19"/>
      <c r="J15" s="20">
        <f t="shared" si="0"/>
        <v>0</v>
      </c>
      <c r="K15" s="20">
        <f t="shared" si="1"/>
        <v>33574.01</v>
      </c>
    </row>
    <row r="16" spans="2:12" ht="18.75" x14ac:dyDescent="0.3">
      <c r="B16" s="22">
        <v>44507</v>
      </c>
      <c r="C16" s="41" t="s">
        <v>793</v>
      </c>
      <c r="D16" s="34"/>
      <c r="E16" s="18"/>
      <c r="F16" s="18"/>
      <c r="G16" s="18"/>
      <c r="H16" s="18">
        <v>150</v>
      </c>
      <c r="I16" s="19"/>
      <c r="J16" s="20">
        <f t="shared" si="0"/>
        <v>0</v>
      </c>
      <c r="K16" s="20">
        <f t="shared" si="1"/>
        <v>33424.01</v>
      </c>
    </row>
    <row r="17" spans="2:11" ht="18.75" x14ac:dyDescent="0.3">
      <c r="B17" s="22">
        <v>44507</v>
      </c>
      <c r="C17" s="21" t="s">
        <v>794</v>
      </c>
      <c r="D17" s="34"/>
      <c r="E17" s="18"/>
      <c r="F17" s="18"/>
      <c r="G17" s="18"/>
      <c r="H17" s="18">
        <v>250</v>
      </c>
      <c r="I17" s="19"/>
      <c r="J17" s="20">
        <f t="shared" si="0"/>
        <v>0</v>
      </c>
      <c r="K17" s="20">
        <f t="shared" si="1"/>
        <v>33174.01</v>
      </c>
    </row>
    <row r="18" spans="2:11" ht="18.75" x14ac:dyDescent="0.3">
      <c r="B18" s="22">
        <v>44507</v>
      </c>
      <c r="C18" s="21" t="s">
        <v>43</v>
      </c>
      <c r="D18" s="34">
        <v>38150</v>
      </c>
      <c r="E18" s="18"/>
      <c r="F18" s="18"/>
      <c r="G18" s="18"/>
      <c r="H18" s="18"/>
      <c r="I18" s="19"/>
      <c r="J18" s="20">
        <f t="shared" si="0"/>
        <v>0</v>
      </c>
      <c r="K18" s="20">
        <f t="shared" si="1"/>
        <v>71324.010000000009</v>
      </c>
    </row>
    <row r="19" spans="2:11" ht="18.75" x14ac:dyDescent="0.3">
      <c r="B19" s="22">
        <v>44508</v>
      </c>
      <c r="C19" s="21" t="s">
        <v>795</v>
      </c>
      <c r="D19" s="34"/>
      <c r="E19" s="18"/>
      <c r="F19" s="18"/>
      <c r="G19" s="18"/>
      <c r="H19" s="18">
        <v>1550</v>
      </c>
      <c r="I19" s="19"/>
      <c r="J19" s="20">
        <f t="shared" si="0"/>
        <v>0</v>
      </c>
      <c r="K19" s="20">
        <f t="shared" si="1"/>
        <v>69774.010000000009</v>
      </c>
    </row>
    <row r="20" spans="2:11" ht="18.75" x14ac:dyDescent="0.3">
      <c r="B20" s="22">
        <v>44508</v>
      </c>
      <c r="C20" s="21" t="s">
        <v>174</v>
      </c>
      <c r="D20" s="34"/>
      <c r="E20" s="18"/>
      <c r="F20" s="18"/>
      <c r="G20" s="18"/>
      <c r="H20" s="18">
        <v>300</v>
      </c>
      <c r="I20" s="19"/>
      <c r="J20" s="20">
        <f t="shared" si="0"/>
        <v>0</v>
      </c>
      <c r="K20" s="20">
        <f t="shared" si="1"/>
        <v>69474.010000000009</v>
      </c>
    </row>
    <row r="21" spans="2:11" ht="18.75" x14ac:dyDescent="0.3">
      <c r="B21" s="22">
        <v>44508</v>
      </c>
      <c r="C21" s="21" t="s">
        <v>796</v>
      </c>
      <c r="D21" s="34"/>
      <c r="E21" s="18"/>
      <c r="F21" s="18"/>
      <c r="G21" s="18"/>
      <c r="H21" s="18">
        <v>200</v>
      </c>
      <c r="I21" s="19"/>
      <c r="J21" s="20">
        <f t="shared" si="0"/>
        <v>0</v>
      </c>
      <c r="K21" s="20">
        <f t="shared" si="1"/>
        <v>69274.010000000009</v>
      </c>
    </row>
    <row r="22" spans="2:11" ht="18.75" x14ac:dyDescent="0.3">
      <c r="B22" s="104">
        <v>44508</v>
      </c>
      <c r="C22" s="21" t="s">
        <v>783</v>
      </c>
      <c r="D22" s="34"/>
      <c r="E22" s="18"/>
      <c r="F22" s="18"/>
      <c r="G22" s="18"/>
      <c r="H22" s="18">
        <v>147</v>
      </c>
      <c r="I22" s="19"/>
      <c r="J22" s="20">
        <f t="shared" si="0"/>
        <v>0</v>
      </c>
      <c r="K22" s="20">
        <f t="shared" si="1"/>
        <v>69127.010000000009</v>
      </c>
    </row>
    <row r="23" spans="2:11" ht="18.75" x14ac:dyDescent="0.3">
      <c r="B23" s="22">
        <v>44509</v>
      </c>
      <c r="C23" s="21" t="s">
        <v>797</v>
      </c>
      <c r="D23" s="34"/>
      <c r="E23" s="18"/>
      <c r="F23" s="18"/>
      <c r="G23" s="18"/>
      <c r="H23" s="18">
        <v>778</v>
      </c>
      <c r="I23" s="19"/>
      <c r="J23" s="20">
        <f t="shared" si="0"/>
        <v>0</v>
      </c>
      <c r="K23" s="20">
        <f t="shared" si="1"/>
        <v>68349.010000000009</v>
      </c>
    </row>
    <row r="24" spans="2:11" ht="18.75" x14ac:dyDescent="0.3">
      <c r="B24" s="22">
        <v>44509</v>
      </c>
      <c r="C24" s="21" t="s">
        <v>798</v>
      </c>
      <c r="D24" s="34"/>
      <c r="E24" s="34"/>
      <c r="F24" s="18"/>
      <c r="G24" s="18"/>
      <c r="H24" s="18">
        <v>13</v>
      </c>
      <c r="I24" s="19"/>
      <c r="J24" s="20">
        <f t="shared" si="0"/>
        <v>0</v>
      </c>
      <c r="K24" s="20">
        <f t="shared" si="1"/>
        <v>68336.010000000009</v>
      </c>
    </row>
    <row r="25" spans="2:11" ht="18.75" x14ac:dyDescent="0.3">
      <c r="B25" s="22">
        <v>44509</v>
      </c>
      <c r="C25" s="21" t="s">
        <v>784</v>
      </c>
      <c r="D25" s="34"/>
      <c r="E25" s="34"/>
      <c r="F25" s="18"/>
      <c r="G25" s="18"/>
      <c r="H25" s="18">
        <v>393.8</v>
      </c>
      <c r="I25" s="19"/>
      <c r="J25" s="20">
        <f t="shared" si="0"/>
        <v>0</v>
      </c>
      <c r="K25" s="20">
        <f t="shared" si="1"/>
        <v>67942.210000000006</v>
      </c>
    </row>
    <row r="26" spans="2:11" ht="18.75" x14ac:dyDescent="0.3">
      <c r="B26" s="42">
        <v>44509</v>
      </c>
      <c r="C26" s="21" t="s">
        <v>799</v>
      </c>
      <c r="D26" s="34"/>
      <c r="E26" s="34"/>
      <c r="F26" s="18"/>
      <c r="G26" s="18"/>
      <c r="H26" s="18">
        <v>100</v>
      </c>
      <c r="I26" s="19"/>
      <c r="J26" s="20">
        <f t="shared" si="0"/>
        <v>0</v>
      </c>
      <c r="K26" s="20">
        <f t="shared" si="1"/>
        <v>67842.210000000006</v>
      </c>
    </row>
    <row r="27" spans="2:11" ht="18.75" x14ac:dyDescent="0.3">
      <c r="B27" s="42">
        <v>44509</v>
      </c>
      <c r="C27" s="21" t="s">
        <v>800</v>
      </c>
      <c r="D27" s="34"/>
      <c r="E27" s="34"/>
      <c r="F27" s="34"/>
      <c r="G27" s="18"/>
      <c r="H27" s="18">
        <v>1600</v>
      </c>
      <c r="I27" s="19"/>
      <c r="J27" s="20">
        <f t="shared" si="0"/>
        <v>0</v>
      </c>
      <c r="K27" s="20">
        <f t="shared" si="1"/>
        <v>66242.210000000006</v>
      </c>
    </row>
    <row r="28" spans="2:11" ht="18.75" x14ac:dyDescent="0.3">
      <c r="B28" s="44">
        <v>44509</v>
      </c>
      <c r="C28" s="33" t="s">
        <v>801</v>
      </c>
      <c r="D28" s="34"/>
      <c r="E28" s="34"/>
      <c r="F28" s="34"/>
      <c r="G28" s="34"/>
      <c r="H28" s="18">
        <v>150</v>
      </c>
      <c r="I28" s="19"/>
      <c r="J28" s="20">
        <f t="shared" si="0"/>
        <v>0</v>
      </c>
      <c r="K28" s="20">
        <f t="shared" si="1"/>
        <v>66092.210000000006</v>
      </c>
    </row>
    <row r="29" spans="2:11" ht="18.75" x14ac:dyDescent="0.3">
      <c r="B29" s="42">
        <v>44510</v>
      </c>
      <c r="C29" s="54" t="s">
        <v>781</v>
      </c>
      <c r="D29" s="34"/>
      <c r="E29" s="18"/>
      <c r="F29" s="18"/>
      <c r="G29" s="18"/>
      <c r="H29" s="18">
        <v>1785</v>
      </c>
      <c r="I29" s="19"/>
      <c r="J29" s="20">
        <f t="shared" si="0"/>
        <v>0</v>
      </c>
      <c r="K29" s="20">
        <f t="shared" si="1"/>
        <v>64307.210000000006</v>
      </c>
    </row>
    <row r="30" spans="2:11" ht="18.75" x14ac:dyDescent="0.3">
      <c r="B30" s="42">
        <v>44510</v>
      </c>
      <c r="C30" s="43" t="s">
        <v>448</v>
      </c>
      <c r="D30" s="34"/>
      <c r="E30" s="18"/>
      <c r="F30" s="18"/>
      <c r="G30" s="18"/>
      <c r="H30" s="18">
        <v>3000</v>
      </c>
      <c r="I30" s="19"/>
      <c r="J30" s="20">
        <f t="shared" si="0"/>
        <v>0</v>
      </c>
      <c r="K30" s="20">
        <f t="shared" si="1"/>
        <v>61307.210000000006</v>
      </c>
    </row>
    <row r="31" spans="2:11" ht="18.75" x14ac:dyDescent="0.3">
      <c r="B31" s="42">
        <v>44511</v>
      </c>
      <c r="C31" s="33" t="s">
        <v>802</v>
      </c>
      <c r="D31" s="34"/>
      <c r="E31" s="18"/>
      <c r="F31" s="18"/>
      <c r="G31" s="18"/>
      <c r="H31" s="18">
        <v>276.01</v>
      </c>
      <c r="I31" s="19"/>
      <c r="J31" s="20">
        <f t="shared" si="0"/>
        <v>0</v>
      </c>
      <c r="K31" s="20">
        <f t="shared" si="1"/>
        <v>61031.200000000004</v>
      </c>
    </row>
    <row r="32" spans="2:11" ht="18.75" x14ac:dyDescent="0.3">
      <c r="B32" s="42">
        <v>44511</v>
      </c>
      <c r="C32" s="33" t="s">
        <v>788</v>
      </c>
      <c r="D32" s="34"/>
      <c r="E32" s="18"/>
      <c r="F32" s="18"/>
      <c r="G32" s="18"/>
      <c r="H32" s="18">
        <v>250</v>
      </c>
      <c r="I32" s="19"/>
      <c r="J32" s="20">
        <f t="shared" si="0"/>
        <v>0</v>
      </c>
      <c r="K32" s="20">
        <f t="shared" si="1"/>
        <v>60781.200000000004</v>
      </c>
    </row>
    <row r="33" spans="2:11" ht="18.75" x14ac:dyDescent="0.3">
      <c r="B33" s="42">
        <v>44511</v>
      </c>
      <c r="C33" s="33" t="s">
        <v>803</v>
      </c>
      <c r="D33" s="34"/>
      <c r="E33" s="18"/>
      <c r="F33" s="18"/>
      <c r="G33" s="18"/>
      <c r="H33" s="18">
        <v>1250</v>
      </c>
      <c r="I33" s="19"/>
      <c r="J33" s="20">
        <f t="shared" si="0"/>
        <v>0</v>
      </c>
      <c r="K33" s="20">
        <f t="shared" si="1"/>
        <v>59531.200000000004</v>
      </c>
    </row>
    <row r="34" spans="2:11" ht="18.75" x14ac:dyDescent="0.3">
      <c r="B34" s="49">
        <v>44512</v>
      </c>
      <c r="C34" s="51" t="s">
        <v>789</v>
      </c>
      <c r="D34" s="34"/>
      <c r="E34" s="18"/>
      <c r="F34" s="18"/>
      <c r="G34" s="18"/>
      <c r="H34" s="18">
        <v>172</v>
      </c>
      <c r="I34" s="19"/>
      <c r="J34" s="20">
        <f t="shared" si="0"/>
        <v>0</v>
      </c>
      <c r="K34" s="20">
        <f t="shared" si="1"/>
        <v>59359.200000000004</v>
      </c>
    </row>
    <row r="35" spans="2:11" ht="18.75" x14ac:dyDescent="0.3">
      <c r="B35" s="42">
        <v>44513</v>
      </c>
      <c r="C35" s="33" t="s">
        <v>784</v>
      </c>
      <c r="D35" s="34"/>
      <c r="E35" s="18"/>
      <c r="F35" s="18"/>
      <c r="G35" s="18"/>
      <c r="H35" s="18">
        <v>236.16</v>
      </c>
      <c r="I35" s="19"/>
      <c r="J35" s="20">
        <f t="shared" si="0"/>
        <v>0</v>
      </c>
      <c r="K35" s="20">
        <f t="shared" si="1"/>
        <v>59123.040000000001</v>
      </c>
    </row>
    <row r="36" spans="2:11" ht="18.75" x14ac:dyDescent="0.3">
      <c r="B36" s="57">
        <v>44513</v>
      </c>
      <c r="C36" s="43" t="s">
        <v>784</v>
      </c>
      <c r="D36" s="34"/>
      <c r="E36" s="18"/>
      <c r="F36" s="18"/>
      <c r="G36" s="18"/>
      <c r="H36" s="18">
        <v>250</v>
      </c>
      <c r="I36" s="19"/>
      <c r="J36" s="20">
        <f t="shared" si="0"/>
        <v>0</v>
      </c>
      <c r="K36" s="20">
        <f t="shared" si="1"/>
        <v>58873.04</v>
      </c>
    </row>
    <row r="37" spans="2:11" ht="18.75" x14ac:dyDescent="0.3">
      <c r="B37" s="42">
        <v>44514</v>
      </c>
      <c r="C37" s="56" t="s">
        <v>804</v>
      </c>
      <c r="D37" s="34"/>
      <c r="E37" s="18"/>
      <c r="F37" s="18"/>
      <c r="G37" s="18"/>
      <c r="H37" s="18">
        <v>250</v>
      </c>
      <c r="I37" s="19"/>
      <c r="J37" s="20">
        <f t="shared" si="0"/>
        <v>0</v>
      </c>
      <c r="K37" s="20">
        <f t="shared" si="1"/>
        <v>58623.040000000001</v>
      </c>
    </row>
    <row r="38" spans="2:11" ht="18.75" x14ac:dyDescent="0.3">
      <c r="B38" s="47">
        <v>44514</v>
      </c>
      <c r="C38" s="33" t="s">
        <v>482</v>
      </c>
      <c r="D38" s="34"/>
      <c r="E38" s="18"/>
      <c r="F38" s="18"/>
      <c r="G38" s="18"/>
      <c r="H38" s="18">
        <v>100</v>
      </c>
      <c r="I38" s="19"/>
      <c r="J38" s="20">
        <f t="shared" si="0"/>
        <v>0</v>
      </c>
      <c r="K38" s="20">
        <f t="shared" si="1"/>
        <v>58523.040000000001</v>
      </c>
    </row>
    <row r="39" spans="2:11" ht="18.75" x14ac:dyDescent="0.3">
      <c r="B39" s="42">
        <v>44514</v>
      </c>
      <c r="C39" s="33" t="s">
        <v>483</v>
      </c>
      <c r="D39" s="34"/>
      <c r="E39" s="18"/>
      <c r="F39" s="18"/>
      <c r="G39" s="18"/>
      <c r="H39" s="18">
        <v>200</v>
      </c>
      <c r="I39" s="19"/>
      <c r="J39" s="20">
        <f t="shared" si="0"/>
        <v>0</v>
      </c>
      <c r="K39" s="20">
        <f t="shared" si="1"/>
        <v>58323.040000000001</v>
      </c>
    </row>
    <row r="40" spans="2:11" ht="18.75" x14ac:dyDescent="0.3">
      <c r="B40" s="42">
        <v>44514</v>
      </c>
      <c r="C40" s="32" t="s">
        <v>805</v>
      </c>
      <c r="D40" s="34"/>
      <c r="E40" s="18"/>
      <c r="F40" s="18"/>
      <c r="G40" s="18"/>
      <c r="H40" s="18">
        <v>150</v>
      </c>
      <c r="I40" s="19"/>
      <c r="J40" s="20">
        <f t="shared" si="0"/>
        <v>0</v>
      </c>
      <c r="K40" s="20">
        <f t="shared" si="1"/>
        <v>58173.04</v>
      </c>
    </row>
    <row r="41" spans="2:11" ht="18.75" x14ac:dyDescent="0.3">
      <c r="B41" s="44">
        <v>44514</v>
      </c>
      <c r="C41" s="33" t="s">
        <v>806</v>
      </c>
      <c r="D41" s="34"/>
      <c r="E41" s="18"/>
      <c r="F41" s="18"/>
      <c r="G41" s="18"/>
      <c r="H41" s="18">
        <v>150</v>
      </c>
      <c r="I41" s="19"/>
      <c r="J41" s="20">
        <f t="shared" si="0"/>
        <v>0</v>
      </c>
      <c r="K41" s="20">
        <f t="shared" si="1"/>
        <v>58023.040000000001</v>
      </c>
    </row>
    <row r="42" spans="2:11" ht="18.75" x14ac:dyDescent="0.3">
      <c r="B42" s="22">
        <v>44514</v>
      </c>
      <c r="C42" s="54" t="s">
        <v>625</v>
      </c>
      <c r="D42" s="34"/>
      <c r="E42" s="18"/>
      <c r="F42" s="18"/>
      <c r="G42" s="18"/>
      <c r="H42" s="18">
        <v>25</v>
      </c>
      <c r="I42" s="19"/>
      <c r="J42" s="20">
        <f t="shared" si="0"/>
        <v>0</v>
      </c>
      <c r="K42" s="20">
        <f t="shared" si="1"/>
        <v>57998.04</v>
      </c>
    </row>
    <row r="43" spans="2:11" ht="18.75" x14ac:dyDescent="0.3">
      <c r="B43" s="22">
        <v>44514</v>
      </c>
      <c r="C43" s="54" t="s">
        <v>782</v>
      </c>
      <c r="D43" s="34">
        <v>22850</v>
      </c>
      <c r="E43" s="18"/>
      <c r="F43" s="18"/>
      <c r="G43" s="18"/>
      <c r="H43" s="18"/>
      <c r="I43" s="19"/>
      <c r="J43" s="20">
        <f t="shared" si="0"/>
        <v>0</v>
      </c>
      <c r="K43" s="20">
        <f t="shared" si="1"/>
        <v>80848.040000000008</v>
      </c>
    </row>
    <row r="44" spans="2:11" ht="18.75" x14ac:dyDescent="0.3">
      <c r="B44" s="22">
        <v>44515</v>
      </c>
      <c r="C44" s="54" t="s">
        <v>783</v>
      </c>
      <c r="D44" s="34"/>
      <c r="E44" s="18"/>
      <c r="F44" s="18"/>
      <c r="G44" s="18"/>
      <c r="H44" s="18">
        <v>147</v>
      </c>
      <c r="I44" s="19"/>
      <c r="J44" s="20">
        <f t="shared" si="0"/>
        <v>0</v>
      </c>
      <c r="K44" s="20">
        <f t="shared" si="1"/>
        <v>80701.040000000008</v>
      </c>
    </row>
    <row r="45" spans="2:11" ht="18.75" x14ac:dyDescent="0.3">
      <c r="B45" s="22">
        <v>44515</v>
      </c>
      <c r="C45" s="54" t="s">
        <v>81</v>
      </c>
      <c r="D45" s="34"/>
      <c r="E45" s="18"/>
      <c r="F45" s="18"/>
      <c r="G45" s="18"/>
      <c r="H45" s="18">
        <v>5000</v>
      </c>
      <c r="I45" s="19"/>
      <c r="J45" s="20">
        <f t="shared" si="0"/>
        <v>0</v>
      </c>
      <c r="K45" s="20">
        <f t="shared" si="1"/>
        <v>75701.040000000008</v>
      </c>
    </row>
    <row r="46" spans="2:11" ht="18.75" x14ac:dyDescent="0.3">
      <c r="B46" s="42">
        <v>44515</v>
      </c>
      <c r="C46" s="33" t="s">
        <v>170</v>
      </c>
      <c r="D46" s="34"/>
      <c r="E46" s="18"/>
      <c r="F46" s="18"/>
      <c r="G46" s="18"/>
      <c r="H46" s="18">
        <v>250</v>
      </c>
      <c r="I46" s="19"/>
      <c r="J46" s="20">
        <f t="shared" ref="J46:J51" si="2">+J45+E46-G46</f>
        <v>0</v>
      </c>
      <c r="K46" s="20">
        <f t="shared" ref="K46:K51" si="3">+K45+D46-H46</f>
        <v>75451.040000000008</v>
      </c>
    </row>
    <row r="47" spans="2:11" ht="18.75" x14ac:dyDescent="0.3">
      <c r="B47" s="42">
        <v>44515</v>
      </c>
      <c r="C47" s="33" t="s">
        <v>171</v>
      </c>
      <c r="D47" s="34"/>
      <c r="E47" s="18"/>
      <c r="F47" s="18"/>
      <c r="G47" s="18"/>
      <c r="H47" s="18">
        <v>300</v>
      </c>
      <c r="I47" s="19"/>
      <c r="J47" s="20">
        <f t="shared" si="2"/>
        <v>0</v>
      </c>
      <c r="K47" s="20">
        <f t="shared" si="3"/>
        <v>75151.040000000008</v>
      </c>
    </row>
    <row r="48" spans="2:11" ht="18.75" x14ac:dyDescent="0.3">
      <c r="B48" s="42">
        <v>44515</v>
      </c>
      <c r="C48" s="33" t="s">
        <v>172</v>
      </c>
      <c r="D48" s="34"/>
      <c r="E48" s="34"/>
      <c r="F48" s="34"/>
      <c r="G48" s="34"/>
      <c r="H48" s="18">
        <v>650</v>
      </c>
      <c r="I48" s="19"/>
      <c r="J48" s="20">
        <f t="shared" si="2"/>
        <v>0</v>
      </c>
      <c r="K48" s="20">
        <f t="shared" si="3"/>
        <v>74501.040000000008</v>
      </c>
    </row>
    <row r="49" spans="2:11" ht="18.75" x14ac:dyDescent="0.3">
      <c r="B49" s="47">
        <v>44515</v>
      </c>
      <c r="C49" s="21" t="s">
        <v>556</v>
      </c>
      <c r="D49" s="34"/>
      <c r="E49" s="34"/>
      <c r="F49" s="34"/>
      <c r="G49" s="34"/>
      <c r="H49" s="18">
        <v>300</v>
      </c>
      <c r="I49" s="19"/>
      <c r="J49" s="20">
        <f t="shared" si="2"/>
        <v>0</v>
      </c>
      <c r="K49" s="20">
        <f t="shared" si="3"/>
        <v>74201.040000000008</v>
      </c>
    </row>
    <row r="50" spans="2:11" ht="18.75" x14ac:dyDescent="0.3">
      <c r="B50" s="47">
        <v>44515</v>
      </c>
      <c r="C50" s="21" t="s">
        <v>231</v>
      </c>
      <c r="D50" s="34"/>
      <c r="E50" s="34"/>
      <c r="F50" s="34"/>
      <c r="G50" s="34"/>
      <c r="H50" s="18">
        <v>3400</v>
      </c>
      <c r="I50" s="19"/>
      <c r="J50" s="20">
        <f t="shared" si="2"/>
        <v>0</v>
      </c>
      <c r="K50" s="20">
        <f t="shared" si="3"/>
        <v>70801.040000000008</v>
      </c>
    </row>
    <row r="51" spans="2:11" ht="19.5" thickBot="1" x14ac:dyDescent="0.35">
      <c r="B51" s="22">
        <v>44515</v>
      </c>
      <c r="C51" s="43" t="s">
        <v>448</v>
      </c>
      <c r="D51" s="18"/>
      <c r="E51" s="18"/>
      <c r="F51" s="18"/>
      <c r="G51" s="18"/>
      <c r="H51" s="18">
        <v>6000</v>
      </c>
      <c r="I51" s="19"/>
      <c r="J51" s="20">
        <f t="shared" si="2"/>
        <v>0</v>
      </c>
      <c r="K51" s="20">
        <f t="shared" si="3"/>
        <v>64801.040000000008</v>
      </c>
    </row>
    <row r="52" spans="2:11" ht="19.5" thickBot="1" x14ac:dyDescent="0.35">
      <c r="B52" s="25"/>
      <c r="C52" s="26" t="s">
        <v>0</v>
      </c>
      <c r="D52" s="27">
        <f>SUM(D4:D51)</f>
        <v>61000</v>
      </c>
      <c r="E52" s="28">
        <f>SUM(E4:E51)</f>
        <v>0</v>
      </c>
      <c r="F52" s="29">
        <f>SUM(D52:E52)</f>
        <v>61000</v>
      </c>
      <c r="G52" s="30">
        <f>SUM(G4:G51)</f>
        <v>0</v>
      </c>
      <c r="H52" s="27">
        <f>SUM(H4:H51)</f>
        <v>32298.28</v>
      </c>
      <c r="I52" s="29">
        <f>SUM(G52:H52)</f>
        <v>32298.28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61000</v>
      </c>
      <c r="E55" s="28">
        <v>0</v>
      </c>
      <c r="F55" s="29">
        <f>SUM(D55:E55)</f>
        <v>61000</v>
      </c>
      <c r="G55" s="30">
        <v>0</v>
      </c>
      <c r="H55" s="27">
        <v>32298.28</v>
      </c>
      <c r="I55" s="29">
        <f>SUM(G55:H55)</f>
        <v>32298.28</v>
      </c>
      <c r="J55" s="53">
        <v>0</v>
      </c>
      <c r="K55" s="53">
        <v>0</v>
      </c>
    </row>
    <row r="56" spans="2:11" ht="18.75" x14ac:dyDescent="0.3">
      <c r="B56" s="42">
        <v>44515</v>
      </c>
      <c r="C56" s="43" t="s">
        <v>83</v>
      </c>
      <c r="D56" s="18"/>
      <c r="E56" s="18"/>
      <c r="F56" s="18"/>
      <c r="G56" s="18"/>
      <c r="H56" s="18">
        <v>33800</v>
      </c>
      <c r="I56" s="19"/>
      <c r="J56" s="20">
        <f>+J51+E56-G56</f>
        <v>0</v>
      </c>
      <c r="K56" s="20">
        <f>+K51+D56-H56</f>
        <v>31001.040000000008</v>
      </c>
    </row>
    <row r="57" spans="2:11" ht="18.75" x14ac:dyDescent="0.3">
      <c r="B57" s="44">
        <v>44515</v>
      </c>
      <c r="C57" s="43" t="s">
        <v>84</v>
      </c>
      <c r="D57" s="34"/>
      <c r="E57" s="18"/>
      <c r="F57" s="18"/>
      <c r="G57" s="18"/>
      <c r="H57" s="18">
        <v>5700</v>
      </c>
      <c r="I57" s="19"/>
      <c r="J57" s="20">
        <f>+J56+E57-G57</f>
        <v>0</v>
      </c>
      <c r="K57" s="20">
        <f>+K56+D57-H57</f>
        <v>25301.040000000008</v>
      </c>
    </row>
    <row r="58" spans="2:11" ht="18.75" x14ac:dyDescent="0.3">
      <c r="B58" s="22">
        <v>44516</v>
      </c>
      <c r="C58" s="54" t="s">
        <v>808</v>
      </c>
      <c r="D58" s="34"/>
      <c r="E58" s="18"/>
      <c r="F58" s="18"/>
      <c r="G58" s="18"/>
      <c r="H58" s="18">
        <v>3500</v>
      </c>
      <c r="I58" s="19"/>
      <c r="J58" s="20">
        <f t="shared" ref="J58:J97" si="4">+J57+E58-G58</f>
        <v>0</v>
      </c>
      <c r="K58" s="20">
        <f t="shared" ref="K58:K97" si="5">+K57+D58-H58</f>
        <v>21801.040000000008</v>
      </c>
    </row>
    <row r="59" spans="2:11" ht="18.75" x14ac:dyDescent="0.3">
      <c r="B59" s="42">
        <v>44516</v>
      </c>
      <c r="C59" s="33" t="s">
        <v>809</v>
      </c>
      <c r="D59" s="34"/>
      <c r="E59" s="18"/>
      <c r="F59" s="18"/>
      <c r="G59" s="18"/>
      <c r="H59" s="18">
        <v>250</v>
      </c>
      <c r="I59" s="19"/>
      <c r="J59" s="20">
        <f t="shared" si="4"/>
        <v>0</v>
      </c>
      <c r="K59" s="20">
        <f t="shared" si="5"/>
        <v>21551.040000000008</v>
      </c>
    </row>
    <row r="60" spans="2:11" ht="18.75" x14ac:dyDescent="0.3">
      <c r="B60" s="42">
        <v>44516</v>
      </c>
      <c r="C60" s="33" t="s">
        <v>810</v>
      </c>
      <c r="D60" s="34"/>
      <c r="E60" s="18"/>
      <c r="F60" s="18"/>
      <c r="G60" s="18"/>
      <c r="H60" s="18">
        <v>500</v>
      </c>
      <c r="I60" s="19"/>
      <c r="J60" s="20">
        <f t="shared" si="4"/>
        <v>0</v>
      </c>
      <c r="K60" s="20">
        <f t="shared" si="5"/>
        <v>21051.040000000008</v>
      </c>
    </row>
    <row r="61" spans="2:11" ht="18.75" x14ac:dyDescent="0.3">
      <c r="B61" s="42">
        <v>44517</v>
      </c>
      <c r="C61" s="33" t="s">
        <v>811</v>
      </c>
      <c r="D61" s="34"/>
      <c r="E61" s="34"/>
      <c r="F61" s="34"/>
      <c r="G61" s="34"/>
      <c r="H61" s="18">
        <v>108</v>
      </c>
      <c r="I61" s="19"/>
      <c r="J61" s="20">
        <f t="shared" si="4"/>
        <v>0</v>
      </c>
      <c r="K61" s="20">
        <f t="shared" si="5"/>
        <v>20943.040000000008</v>
      </c>
    </row>
    <row r="62" spans="2:11" ht="18.75" x14ac:dyDescent="0.3">
      <c r="B62" s="47">
        <v>44517</v>
      </c>
      <c r="C62" s="21" t="s">
        <v>300</v>
      </c>
      <c r="D62" s="34"/>
      <c r="E62" s="34"/>
      <c r="F62" s="34"/>
      <c r="G62" s="34"/>
      <c r="H62" s="18">
        <v>22.5</v>
      </c>
      <c r="I62" s="19"/>
      <c r="J62" s="20">
        <f t="shared" si="4"/>
        <v>0</v>
      </c>
      <c r="K62" s="20">
        <f t="shared" si="5"/>
        <v>20920.540000000008</v>
      </c>
    </row>
    <row r="63" spans="2:11" ht="18.75" x14ac:dyDescent="0.3">
      <c r="B63" s="22">
        <v>44517</v>
      </c>
      <c r="C63" s="43" t="s">
        <v>812</v>
      </c>
      <c r="D63" s="18"/>
      <c r="E63" s="18"/>
      <c r="F63" s="18"/>
      <c r="G63" s="18"/>
      <c r="H63" s="18">
        <v>600</v>
      </c>
      <c r="I63" s="19"/>
      <c r="J63" s="20">
        <f t="shared" si="4"/>
        <v>0</v>
      </c>
      <c r="K63" s="20">
        <f t="shared" si="5"/>
        <v>20320.540000000008</v>
      </c>
    </row>
    <row r="64" spans="2:11" ht="18.75" x14ac:dyDescent="0.3">
      <c r="B64" s="42">
        <v>44518</v>
      </c>
      <c r="C64" s="43" t="s">
        <v>813</v>
      </c>
      <c r="D64" s="18"/>
      <c r="E64" s="18"/>
      <c r="F64" s="18"/>
      <c r="G64" s="18"/>
      <c r="H64" s="18">
        <v>180</v>
      </c>
      <c r="I64" s="19"/>
      <c r="J64" s="20">
        <f t="shared" si="4"/>
        <v>0</v>
      </c>
      <c r="K64" s="20">
        <f t="shared" si="5"/>
        <v>20140.540000000008</v>
      </c>
    </row>
    <row r="65" spans="2:12" ht="18.75" x14ac:dyDescent="0.3">
      <c r="B65" s="44">
        <v>44518</v>
      </c>
      <c r="C65" s="43" t="s">
        <v>788</v>
      </c>
      <c r="D65" s="34"/>
      <c r="E65" s="18"/>
      <c r="F65" s="18"/>
      <c r="G65" s="18"/>
      <c r="H65" s="18">
        <v>150</v>
      </c>
      <c r="I65" s="19"/>
      <c r="J65" s="20">
        <f t="shared" si="4"/>
        <v>0</v>
      </c>
      <c r="K65" s="20">
        <f t="shared" si="5"/>
        <v>19990.540000000008</v>
      </c>
    </row>
    <row r="66" spans="2:12" ht="18.75" x14ac:dyDescent="0.3">
      <c r="B66" s="44">
        <v>44519</v>
      </c>
      <c r="C66" s="54" t="s">
        <v>291</v>
      </c>
      <c r="D66" s="34"/>
      <c r="E66" s="18"/>
      <c r="F66" s="18"/>
      <c r="G66" s="18"/>
      <c r="H66" s="18">
        <v>200</v>
      </c>
      <c r="I66" s="19"/>
      <c r="J66" s="20">
        <f t="shared" si="4"/>
        <v>0</v>
      </c>
      <c r="K66" s="20">
        <f t="shared" si="5"/>
        <v>19790.540000000008</v>
      </c>
    </row>
    <row r="67" spans="2:12" ht="18.75" x14ac:dyDescent="0.3">
      <c r="B67" s="42">
        <v>44519</v>
      </c>
      <c r="C67" s="54" t="s">
        <v>814</v>
      </c>
      <c r="D67" s="34"/>
      <c r="E67" s="18"/>
      <c r="F67" s="18"/>
      <c r="G67" s="18"/>
      <c r="H67" s="18">
        <v>129</v>
      </c>
      <c r="I67" s="19"/>
      <c r="J67" s="20">
        <f t="shared" si="4"/>
        <v>0</v>
      </c>
      <c r="K67" s="20">
        <f t="shared" si="5"/>
        <v>19661.540000000008</v>
      </c>
    </row>
    <row r="68" spans="2:12" ht="18.75" x14ac:dyDescent="0.3">
      <c r="B68" s="44">
        <v>44519</v>
      </c>
      <c r="C68" s="54" t="s">
        <v>525</v>
      </c>
      <c r="D68" s="34"/>
      <c r="E68" s="18"/>
      <c r="F68" s="18"/>
      <c r="G68" s="18"/>
      <c r="H68" s="18">
        <v>180</v>
      </c>
      <c r="I68" s="19"/>
      <c r="J68" s="20">
        <f t="shared" si="4"/>
        <v>0</v>
      </c>
      <c r="K68" s="20">
        <f t="shared" si="5"/>
        <v>19481.540000000008</v>
      </c>
    </row>
    <row r="69" spans="2:12" ht="18.75" x14ac:dyDescent="0.3">
      <c r="B69" s="42">
        <v>44519</v>
      </c>
      <c r="C69" s="54" t="s">
        <v>802</v>
      </c>
      <c r="D69" s="34"/>
      <c r="E69" s="18"/>
      <c r="F69" s="18"/>
      <c r="G69" s="18"/>
      <c r="H69" s="18">
        <v>105</v>
      </c>
      <c r="I69" s="19"/>
      <c r="J69" s="20">
        <f t="shared" si="4"/>
        <v>0</v>
      </c>
      <c r="K69" s="20">
        <f t="shared" si="5"/>
        <v>19376.540000000008</v>
      </c>
    </row>
    <row r="70" spans="2:12" ht="18.75" x14ac:dyDescent="0.3">
      <c r="B70" s="42">
        <v>44520</v>
      </c>
      <c r="C70" s="21" t="s">
        <v>525</v>
      </c>
      <c r="D70" s="18"/>
      <c r="E70" s="18"/>
      <c r="F70" s="18"/>
      <c r="G70" s="18"/>
      <c r="H70" s="18">
        <v>149</v>
      </c>
      <c r="I70" s="19"/>
      <c r="J70" s="20">
        <f t="shared" si="4"/>
        <v>0</v>
      </c>
      <c r="K70" s="20">
        <f t="shared" si="5"/>
        <v>19227.540000000008</v>
      </c>
    </row>
    <row r="71" spans="2:12" ht="18.75" x14ac:dyDescent="0.3">
      <c r="B71" s="42">
        <v>44520</v>
      </c>
      <c r="C71" s="43" t="s">
        <v>815</v>
      </c>
      <c r="D71" s="18"/>
      <c r="E71" s="18"/>
      <c r="F71" s="18"/>
      <c r="G71" s="18"/>
      <c r="H71" s="18">
        <v>199.9</v>
      </c>
      <c r="I71" s="19"/>
      <c r="J71" s="20">
        <f t="shared" si="4"/>
        <v>0</v>
      </c>
      <c r="K71" s="20">
        <f t="shared" si="5"/>
        <v>19027.640000000007</v>
      </c>
    </row>
    <row r="72" spans="2:12" ht="18.75" x14ac:dyDescent="0.3">
      <c r="B72" s="42">
        <v>44520</v>
      </c>
      <c r="C72" s="43" t="s">
        <v>816</v>
      </c>
      <c r="D72" s="18"/>
      <c r="E72" s="18"/>
      <c r="F72" s="18"/>
      <c r="G72" s="18"/>
      <c r="H72" s="18">
        <v>29</v>
      </c>
      <c r="I72" s="19"/>
      <c r="J72" s="20">
        <f t="shared" si="4"/>
        <v>0</v>
      </c>
      <c r="K72" s="20">
        <f t="shared" si="5"/>
        <v>18998.640000000007</v>
      </c>
    </row>
    <row r="73" spans="2:12" ht="18.75" x14ac:dyDescent="0.3">
      <c r="B73" s="42">
        <v>44521</v>
      </c>
      <c r="C73" s="43" t="s">
        <v>783</v>
      </c>
      <c r="D73" s="18"/>
      <c r="E73" s="18"/>
      <c r="F73" s="18"/>
      <c r="G73" s="18"/>
      <c r="H73" s="18">
        <v>98</v>
      </c>
      <c r="I73" s="19"/>
      <c r="J73" s="20">
        <f t="shared" si="4"/>
        <v>0</v>
      </c>
      <c r="K73" s="20">
        <f t="shared" si="5"/>
        <v>18900.640000000007</v>
      </c>
    </row>
    <row r="74" spans="2:12" ht="18.75" x14ac:dyDescent="0.3">
      <c r="B74" s="42">
        <v>44521</v>
      </c>
      <c r="C74" s="43" t="s">
        <v>497</v>
      </c>
      <c r="D74" s="18"/>
      <c r="E74" s="18"/>
      <c r="F74" s="18"/>
      <c r="G74" s="18"/>
      <c r="H74" s="18">
        <v>100</v>
      </c>
      <c r="I74" s="19"/>
      <c r="J74" s="20">
        <f t="shared" si="4"/>
        <v>0</v>
      </c>
      <c r="K74" s="20">
        <f t="shared" si="5"/>
        <v>18800.640000000007</v>
      </c>
    </row>
    <row r="75" spans="2:12" ht="18.75" x14ac:dyDescent="0.3">
      <c r="B75" s="42">
        <v>44521</v>
      </c>
      <c r="C75" s="43" t="s">
        <v>817</v>
      </c>
      <c r="D75" s="18"/>
      <c r="E75" s="18"/>
      <c r="F75" s="18"/>
      <c r="G75" s="18"/>
      <c r="H75" s="18">
        <v>200</v>
      </c>
      <c r="I75" s="19"/>
      <c r="J75" s="20">
        <f t="shared" si="4"/>
        <v>0</v>
      </c>
      <c r="K75" s="20">
        <f t="shared" si="5"/>
        <v>18600.640000000007</v>
      </c>
    </row>
    <row r="76" spans="2:12" ht="18.75" x14ac:dyDescent="0.3">
      <c r="B76" s="42">
        <v>44521</v>
      </c>
      <c r="C76" s="33" t="s">
        <v>484</v>
      </c>
      <c r="D76" s="18"/>
      <c r="E76" s="18"/>
      <c r="F76" s="18"/>
      <c r="G76" s="18"/>
      <c r="H76" s="18">
        <v>150</v>
      </c>
      <c r="I76" s="19"/>
      <c r="J76" s="20">
        <f t="shared" si="4"/>
        <v>0</v>
      </c>
      <c r="K76" s="20">
        <f t="shared" si="5"/>
        <v>18450.640000000007</v>
      </c>
    </row>
    <row r="77" spans="2:12" ht="18.75" x14ac:dyDescent="0.3">
      <c r="B77" s="46">
        <v>44521</v>
      </c>
      <c r="C77" s="43" t="s">
        <v>818</v>
      </c>
      <c r="D77" s="18"/>
      <c r="E77" s="18"/>
      <c r="F77" s="18"/>
      <c r="G77" s="18"/>
      <c r="H77" s="18">
        <v>2100</v>
      </c>
      <c r="I77" s="19"/>
      <c r="J77" s="20">
        <f t="shared" si="4"/>
        <v>0</v>
      </c>
      <c r="K77" s="20">
        <f t="shared" si="5"/>
        <v>16350.640000000007</v>
      </c>
    </row>
    <row r="78" spans="2:12" ht="18.75" x14ac:dyDescent="0.3">
      <c r="B78" s="22">
        <v>44521</v>
      </c>
      <c r="C78" s="33" t="s">
        <v>90</v>
      </c>
      <c r="D78" s="18">
        <v>27700</v>
      </c>
      <c r="E78" s="18"/>
      <c r="F78" s="18"/>
      <c r="G78" s="18"/>
      <c r="H78" s="18"/>
      <c r="I78" s="19"/>
      <c r="J78" s="20">
        <f t="shared" si="4"/>
        <v>0</v>
      </c>
      <c r="K78" s="20">
        <f t="shared" si="5"/>
        <v>44050.640000000007</v>
      </c>
      <c r="L78" s="1"/>
    </row>
    <row r="79" spans="2:12" ht="18.75" x14ac:dyDescent="0.3">
      <c r="B79" s="22">
        <v>44522</v>
      </c>
      <c r="C79" s="51" t="s">
        <v>819</v>
      </c>
      <c r="D79" s="34"/>
      <c r="E79" s="18"/>
      <c r="F79" s="18"/>
      <c r="G79" s="18"/>
      <c r="H79" s="18">
        <v>269.02</v>
      </c>
      <c r="I79" s="19"/>
      <c r="J79" s="20">
        <f t="shared" si="4"/>
        <v>0</v>
      </c>
      <c r="K79" s="20">
        <f t="shared" si="5"/>
        <v>43781.62000000001</v>
      </c>
      <c r="L79" s="1"/>
    </row>
    <row r="80" spans="2:12" ht="18.75" x14ac:dyDescent="0.3">
      <c r="B80" s="44">
        <v>44522</v>
      </c>
      <c r="C80" s="51" t="s">
        <v>815</v>
      </c>
      <c r="D80" s="34"/>
      <c r="E80" s="18"/>
      <c r="F80" s="18"/>
      <c r="G80" s="18"/>
      <c r="H80" s="18">
        <v>200</v>
      </c>
      <c r="I80" s="19"/>
      <c r="J80" s="20">
        <f t="shared" si="4"/>
        <v>0</v>
      </c>
      <c r="K80" s="20">
        <f t="shared" si="5"/>
        <v>43581.62000000001</v>
      </c>
      <c r="L80" s="1"/>
    </row>
    <row r="81" spans="2:12" ht="18.75" x14ac:dyDescent="0.3">
      <c r="B81" s="47">
        <v>44522</v>
      </c>
      <c r="C81" s="43" t="s">
        <v>783</v>
      </c>
      <c r="D81" s="34"/>
      <c r="E81" s="18"/>
      <c r="F81" s="18"/>
      <c r="G81" s="18"/>
      <c r="H81" s="18">
        <v>98</v>
      </c>
      <c r="I81" s="19"/>
      <c r="J81" s="20">
        <f t="shared" si="4"/>
        <v>0</v>
      </c>
      <c r="K81" s="20">
        <f t="shared" si="5"/>
        <v>43483.62000000001</v>
      </c>
    </row>
    <row r="82" spans="2:12" ht="18.75" x14ac:dyDescent="0.3">
      <c r="B82" s="47">
        <v>44522</v>
      </c>
      <c r="C82" s="43" t="s">
        <v>820</v>
      </c>
      <c r="D82" s="34"/>
      <c r="E82" s="18"/>
      <c r="F82" s="18"/>
      <c r="G82" s="18"/>
      <c r="H82" s="18">
        <v>300</v>
      </c>
      <c r="I82" s="19"/>
      <c r="J82" s="20">
        <f t="shared" si="4"/>
        <v>0</v>
      </c>
      <c r="K82" s="20">
        <f t="shared" si="5"/>
        <v>43183.62000000001</v>
      </c>
    </row>
    <row r="83" spans="2:12" ht="18.75" x14ac:dyDescent="0.3">
      <c r="B83" s="47">
        <v>44522</v>
      </c>
      <c r="C83" s="21" t="s">
        <v>821</v>
      </c>
      <c r="D83" s="34"/>
      <c r="E83" s="18"/>
      <c r="F83" s="18"/>
      <c r="G83" s="18"/>
      <c r="H83" s="18">
        <v>300</v>
      </c>
      <c r="I83" s="19"/>
      <c r="J83" s="20">
        <f t="shared" si="4"/>
        <v>0</v>
      </c>
      <c r="K83" s="20">
        <f t="shared" si="5"/>
        <v>42883.62000000001</v>
      </c>
    </row>
    <row r="84" spans="2:12" ht="18.75" x14ac:dyDescent="0.3">
      <c r="B84" s="47">
        <v>44523</v>
      </c>
      <c r="C84" s="43" t="s">
        <v>823</v>
      </c>
      <c r="D84" s="34"/>
      <c r="E84" s="18"/>
      <c r="F84" s="18"/>
      <c r="G84" s="18"/>
      <c r="H84" s="18">
        <v>80</v>
      </c>
      <c r="I84" s="19"/>
      <c r="J84" s="20">
        <f t="shared" si="4"/>
        <v>0</v>
      </c>
      <c r="K84" s="20">
        <f t="shared" si="5"/>
        <v>42803.62000000001</v>
      </c>
    </row>
    <row r="85" spans="2:12" ht="18.75" x14ac:dyDescent="0.3">
      <c r="B85" s="47">
        <v>44523</v>
      </c>
      <c r="C85" s="43" t="s">
        <v>824</v>
      </c>
      <c r="D85" s="34"/>
      <c r="E85" s="18"/>
      <c r="F85" s="18"/>
      <c r="G85" s="18"/>
      <c r="H85" s="18">
        <v>500</v>
      </c>
      <c r="I85" s="19"/>
      <c r="J85" s="20">
        <f t="shared" si="4"/>
        <v>0</v>
      </c>
      <c r="K85" s="20">
        <f t="shared" si="5"/>
        <v>42303.62000000001</v>
      </c>
    </row>
    <row r="86" spans="2:12" ht="18.75" x14ac:dyDescent="0.3">
      <c r="B86" s="47">
        <v>44523</v>
      </c>
      <c r="C86" s="43" t="s">
        <v>825</v>
      </c>
      <c r="D86" s="34"/>
      <c r="E86" s="18"/>
      <c r="F86" s="18"/>
      <c r="G86" s="18"/>
      <c r="H86" s="18">
        <v>900</v>
      </c>
      <c r="I86" s="19"/>
      <c r="J86" s="20">
        <f t="shared" si="4"/>
        <v>0</v>
      </c>
      <c r="K86" s="20">
        <f t="shared" si="5"/>
        <v>41403.62000000001</v>
      </c>
    </row>
    <row r="87" spans="2:12" ht="18.75" x14ac:dyDescent="0.3">
      <c r="B87" s="47">
        <v>44524</v>
      </c>
      <c r="C87" s="43" t="s">
        <v>827</v>
      </c>
      <c r="D87" s="34"/>
      <c r="E87" s="18"/>
      <c r="F87" s="18"/>
      <c r="G87" s="18"/>
      <c r="H87" s="18">
        <v>750</v>
      </c>
      <c r="I87" s="19"/>
      <c r="J87" s="20">
        <f t="shared" si="4"/>
        <v>0</v>
      </c>
      <c r="K87" s="20">
        <f t="shared" si="5"/>
        <v>40653.62000000001</v>
      </c>
    </row>
    <row r="88" spans="2:12" ht="18.75" x14ac:dyDescent="0.3">
      <c r="B88" s="47">
        <v>44524</v>
      </c>
      <c r="C88" s="43" t="s">
        <v>826</v>
      </c>
      <c r="D88" s="34"/>
      <c r="E88" s="18"/>
      <c r="F88" s="18"/>
      <c r="G88" s="18"/>
      <c r="H88" s="18">
        <v>1250</v>
      </c>
      <c r="I88" s="19"/>
      <c r="J88" s="20">
        <f t="shared" si="4"/>
        <v>0</v>
      </c>
      <c r="K88" s="20">
        <f t="shared" si="5"/>
        <v>39403.62000000001</v>
      </c>
    </row>
    <row r="89" spans="2:12" ht="18.75" x14ac:dyDescent="0.3">
      <c r="B89" s="47">
        <v>44525</v>
      </c>
      <c r="C89" s="43" t="s">
        <v>828</v>
      </c>
      <c r="D89" s="34"/>
      <c r="E89" s="18"/>
      <c r="F89" s="18"/>
      <c r="G89" s="18"/>
      <c r="H89" s="18">
        <v>4500</v>
      </c>
      <c r="I89" s="19"/>
      <c r="J89" s="20">
        <f t="shared" si="4"/>
        <v>0</v>
      </c>
      <c r="K89" s="20">
        <f t="shared" si="5"/>
        <v>34903.62000000001</v>
      </c>
    </row>
    <row r="90" spans="2:12" ht="18.75" x14ac:dyDescent="0.3">
      <c r="B90" s="48">
        <v>44525</v>
      </c>
      <c r="C90" s="21" t="s">
        <v>788</v>
      </c>
      <c r="D90" s="34"/>
      <c r="E90" s="18"/>
      <c r="F90" s="18"/>
      <c r="G90" s="18"/>
      <c r="H90" s="18">
        <v>100</v>
      </c>
      <c r="I90" s="19"/>
      <c r="J90" s="20">
        <f t="shared" si="4"/>
        <v>0</v>
      </c>
      <c r="K90" s="20">
        <f t="shared" si="5"/>
        <v>34803.62000000001</v>
      </c>
    </row>
    <row r="91" spans="2:12" ht="18.75" x14ac:dyDescent="0.3">
      <c r="B91" s="48">
        <v>44526</v>
      </c>
      <c r="C91" s="21" t="s">
        <v>829</v>
      </c>
      <c r="D91" s="34"/>
      <c r="E91" s="18"/>
      <c r="F91" s="18"/>
      <c r="G91" s="18"/>
      <c r="H91" s="18">
        <v>215</v>
      </c>
      <c r="I91" s="19"/>
      <c r="J91" s="20">
        <f t="shared" si="4"/>
        <v>0</v>
      </c>
      <c r="K91" s="20">
        <f t="shared" si="5"/>
        <v>34588.62000000001</v>
      </c>
    </row>
    <row r="92" spans="2:12" ht="18.75" x14ac:dyDescent="0.3">
      <c r="B92" s="48">
        <v>44526</v>
      </c>
      <c r="C92" s="17" t="s">
        <v>461</v>
      </c>
      <c r="D92" s="34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34388.62000000001</v>
      </c>
    </row>
    <row r="93" spans="2:12" ht="18.75" x14ac:dyDescent="0.3">
      <c r="B93" s="49">
        <v>44526</v>
      </c>
      <c r="C93" s="21" t="s">
        <v>830</v>
      </c>
      <c r="D93" s="34"/>
      <c r="E93" s="34"/>
      <c r="F93" s="34"/>
      <c r="G93" s="18"/>
      <c r="H93" s="18">
        <v>200</v>
      </c>
      <c r="I93" s="19"/>
      <c r="J93" s="20">
        <f t="shared" si="4"/>
        <v>0</v>
      </c>
      <c r="K93" s="20">
        <f t="shared" si="5"/>
        <v>34188.62000000001</v>
      </c>
    </row>
    <row r="94" spans="2:12" ht="18.75" x14ac:dyDescent="0.3">
      <c r="B94" s="49">
        <v>44527</v>
      </c>
      <c r="C94" s="21" t="s">
        <v>831</v>
      </c>
      <c r="D94" s="34"/>
      <c r="E94" s="34"/>
      <c r="F94" s="34"/>
      <c r="G94" s="18"/>
      <c r="H94" s="18">
        <v>450</v>
      </c>
      <c r="I94" s="19"/>
      <c r="J94" s="20">
        <f t="shared" si="4"/>
        <v>0</v>
      </c>
      <c r="K94" s="20">
        <f t="shared" si="5"/>
        <v>33738.62000000001</v>
      </c>
      <c r="L94" s="1"/>
    </row>
    <row r="95" spans="2:12" ht="18.75" x14ac:dyDescent="0.3">
      <c r="B95" s="49">
        <v>44528</v>
      </c>
      <c r="C95" s="21" t="s">
        <v>303</v>
      </c>
      <c r="D95" s="34"/>
      <c r="E95" s="34"/>
      <c r="F95" s="34"/>
      <c r="G95" s="18"/>
      <c r="H95" s="18">
        <v>100</v>
      </c>
      <c r="I95" s="19"/>
      <c r="J95" s="20">
        <f t="shared" si="4"/>
        <v>0</v>
      </c>
      <c r="K95" s="20">
        <f t="shared" si="5"/>
        <v>33638.62000000001</v>
      </c>
    </row>
    <row r="96" spans="2:12" ht="18.75" x14ac:dyDescent="0.3">
      <c r="B96" s="49">
        <v>44528</v>
      </c>
      <c r="C96" s="21" t="s">
        <v>638</v>
      </c>
      <c r="D96" s="34"/>
      <c r="E96" s="34"/>
      <c r="F96" s="34"/>
      <c r="G96" s="18"/>
      <c r="H96" s="18">
        <v>200</v>
      </c>
      <c r="I96" s="19"/>
      <c r="J96" s="20">
        <f t="shared" si="4"/>
        <v>0</v>
      </c>
      <c r="K96" s="20">
        <f t="shared" si="5"/>
        <v>33438.62000000001</v>
      </c>
    </row>
    <row r="97" spans="2:12" ht="18.75" x14ac:dyDescent="0.3">
      <c r="B97" s="49">
        <v>44528</v>
      </c>
      <c r="C97" s="24" t="s">
        <v>832</v>
      </c>
      <c r="D97" s="34"/>
      <c r="E97" s="34"/>
      <c r="F97" s="34"/>
      <c r="G97" s="18"/>
      <c r="H97" s="18">
        <v>150</v>
      </c>
      <c r="I97" s="19"/>
      <c r="J97" s="20">
        <f t="shared" si="4"/>
        <v>0</v>
      </c>
      <c r="K97" s="20">
        <f t="shared" si="5"/>
        <v>33288.62000000001</v>
      </c>
    </row>
    <row r="98" spans="2:12" ht="18.75" x14ac:dyDescent="0.3">
      <c r="B98" s="49">
        <v>44528</v>
      </c>
      <c r="C98" s="24" t="s">
        <v>833</v>
      </c>
      <c r="D98" s="34"/>
      <c r="E98" s="18"/>
      <c r="F98" s="18"/>
      <c r="G98" s="18"/>
      <c r="H98" s="18">
        <v>300</v>
      </c>
      <c r="I98" s="19"/>
      <c r="J98" s="20">
        <f t="shared" ref="J98:J103" si="6">+J97+E98-G98</f>
        <v>0</v>
      </c>
      <c r="K98" s="20">
        <f t="shared" ref="K98:K103" si="7">+K97+D98-H98</f>
        <v>32988.62000000001</v>
      </c>
    </row>
    <row r="99" spans="2:12" ht="18.75" x14ac:dyDescent="0.3">
      <c r="B99" s="49">
        <v>44528</v>
      </c>
      <c r="C99" s="24" t="s">
        <v>309</v>
      </c>
      <c r="D99" s="34">
        <v>45550</v>
      </c>
      <c r="E99" s="18"/>
      <c r="F99" s="18"/>
      <c r="G99" s="18"/>
      <c r="H99" s="18"/>
      <c r="I99" s="19"/>
      <c r="J99" s="20">
        <f t="shared" si="6"/>
        <v>0</v>
      </c>
      <c r="K99" s="20">
        <f t="shared" si="7"/>
        <v>78538.62000000001</v>
      </c>
    </row>
    <row r="100" spans="2:12" ht="18.75" x14ac:dyDescent="0.3">
      <c r="B100" s="49">
        <v>44529</v>
      </c>
      <c r="C100" s="43" t="s">
        <v>783</v>
      </c>
      <c r="D100" s="34"/>
      <c r="E100" s="18"/>
      <c r="F100" s="18"/>
      <c r="G100" s="18"/>
      <c r="H100" s="18">
        <v>98</v>
      </c>
      <c r="I100" s="19"/>
      <c r="J100" s="20">
        <f t="shared" si="6"/>
        <v>0</v>
      </c>
      <c r="K100" s="20">
        <f t="shared" si="7"/>
        <v>78440.62000000001</v>
      </c>
    </row>
    <row r="101" spans="2:12" ht="18.75" x14ac:dyDescent="0.3">
      <c r="B101" s="49">
        <v>44529</v>
      </c>
      <c r="C101" s="43" t="s">
        <v>834</v>
      </c>
      <c r="D101" s="34"/>
      <c r="E101" s="18"/>
      <c r="F101" s="18"/>
      <c r="G101" s="18"/>
      <c r="H101" s="18">
        <v>250</v>
      </c>
      <c r="I101" s="19"/>
      <c r="J101" s="20">
        <f t="shared" si="6"/>
        <v>0</v>
      </c>
      <c r="K101" s="20">
        <f t="shared" si="7"/>
        <v>78190.62000000001</v>
      </c>
    </row>
    <row r="102" spans="2:12" ht="18.75" x14ac:dyDescent="0.3">
      <c r="B102" s="49">
        <v>44529</v>
      </c>
      <c r="C102" s="54" t="s">
        <v>822</v>
      </c>
      <c r="D102" s="34"/>
      <c r="E102" s="18"/>
      <c r="F102" s="18"/>
      <c r="G102" s="18"/>
      <c r="H102" s="18">
        <v>1700</v>
      </c>
      <c r="I102" s="19"/>
      <c r="J102" s="20">
        <f t="shared" si="6"/>
        <v>0</v>
      </c>
      <c r="K102" s="20">
        <f t="shared" si="7"/>
        <v>76490.62000000001</v>
      </c>
    </row>
    <row r="103" spans="2:12" ht="19.5" thickBot="1" x14ac:dyDescent="0.35">
      <c r="B103" s="49">
        <v>44530</v>
      </c>
      <c r="C103" s="43" t="s">
        <v>815</v>
      </c>
      <c r="D103" s="34"/>
      <c r="E103" s="18"/>
      <c r="F103" s="18"/>
      <c r="G103" s="18"/>
      <c r="H103" s="18">
        <v>250</v>
      </c>
      <c r="I103" s="19"/>
      <c r="J103" s="20">
        <f t="shared" si="6"/>
        <v>0</v>
      </c>
      <c r="K103" s="20">
        <f t="shared" si="7"/>
        <v>76240.62000000001</v>
      </c>
    </row>
    <row r="104" spans="2:12" ht="19.5" thickBot="1" x14ac:dyDescent="0.35">
      <c r="B104" s="25"/>
      <c r="C104" s="26" t="s">
        <v>0</v>
      </c>
      <c r="D104" s="27">
        <f>SUM(D55:D103)</f>
        <v>134250</v>
      </c>
      <c r="E104" s="28">
        <f>SUM(E55:E103)</f>
        <v>0</v>
      </c>
      <c r="F104" s="29">
        <f>SUM(D104:E104)</f>
        <v>134250</v>
      </c>
      <c r="G104" s="30">
        <f>SUM(G55:G103)</f>
        <v>0</v>
      </c>
      <c r="H104" s="27">
        <f>SUM(H55:H103)</f>
        <v>94108.7</v>
      </c>
      <c r="I104" s="29">
        <f>SUM(G104:H104)</f>
        <v>94108.7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134250</v>
      </c>
      <c r="E107" s="28">
        <v>0</v>
      </c>
      <c r="F107" s="29">
        <f>SUM(D107:E107)</f>
        <v>134250</v>
      </c>
      <c r="G107" s="30">
        <v>0</v>
      </c>
      <c r="H107" s="27">
        <v>94108.7</v>
      </c>
      <c r="I107" s="29">
        <f>SUM(G107:H107)</f>
        <v>94108.7</v>
      </c>
      <c r="J107" s="53">
        <v>0</v>
      </c>
      <c r="K107" s="53">
        <v>0</v>
      </c>
      <c r="L107" s="3"/>
    </row>
    <row r="108" spans="2:12" ht="18.75" x14ac:dyDescent="0.3">
      <c r="B108" s="49">
        <v>44530</v>
      </c>
      <c r="C108" s="21" t="s">
        <v>812</v>
      </c>
      <c r="D108" s="34"/>
      <c r="E108" s="18"/>
      <c r="F108" s="34"/>
      <c r="G108" s="18"/>
      <c r="H108" s="18">
        <v>7000</v>
      </c>
      <c r="I108" s="19"/>
      <c r="J108" s="20">
        <f>+J103+E108-G108</f>
        <v>0</v>
      </c>
      <c r="K108" s="20">
        <f>+K103+D108-H108</f>
        <v>69240.62000000001</v>
      </c>
    </row>
    <row r="109" spans="2:12" ht="18.75" x14ac:dyDescent="0.3">
      <c r="B109" s="49">
        <v>44530</v>
      </c>
      <c r="C109" s="21" t="s">
        <v>184</v>
      </c>
      <c r="D109" s="34"/>
      <c r="E109" s="34"/>
      <c r="F109" s="34"/>
      <c r="G109" s="18"/>
      <c r="H109" s="18">
        <v>250</v>
      </c>
      <c r="I109" s="19"/>
      <c r="J109" s="20">
        <f>+J108+E109-G109</f>
        <v>0</v>
      </c>
      <c r="K109" s="20">
        <f t="shared" ref="K109" si="8">+K108+D109-H109</f>
        <v>68990.62000000001</v>
      </c>
    </row>
    <row r="110" spans="2:12" ht="18.75" x14ac:dyDescent="0.3">
      <c r="B110" s="49">
        <v>44530</v>
      </c>
      <c r="C110" s="21" t="s">
        <v>711</v>
      </c>
      <c r="D110" s="34"/>
      <c r="E110" s="34"/>
      <c r="F110" s="34"/>
      <c r="G110" s="18"/>
      <c r="H110" s="18">
        <v>300</v>
      </c>
      <c r="I110" s="19"/>
      <c r="J110" s="20">
        <f t="shared" ref="J110:J116" si="9">+J109+E110-G110</f>
        <v>0</v>
      </c>
      <c r="K110" s="20">
        <f t="shared" ref="K110:K116" si="10">+K109+D110-H110</f>
        <v>68690.62000000001</v>
      </c>
    </row>
    <row r="111" spans="2:12" ht="18.75" x14ac:dyDescent="0.3">
      <c r="B111" s="49">
        <v>44530</v>
      </c>
      <c r="C111" s="21" t="s">
        <v>186</v>
      </c>
      <c r="D111" s="34"/>
      <c r="E111" s="34"/>
      <c r="F111" s="34"/>
      <c r="G111" s="18"/>
      <c r="H111" s="18">
        <v>650</v>
      </c>
      <c r="I111" s="19"/>
      <c r="J111" s="20">
        <f t="shared" si="9"/>
        <v>0</v>
      </c>
      <c r="K111" s="20">
        <f t="shared" si="10"/>
        <v>68040.62000000001</v>
      </c>
    </row>
    <row r="112" spans="2:12" ht="18.75" x14ac:dyDescent="0.3">
      <c r="B112" s="49">
        <v>44530</v>
      </c>
      <c r="C112" s="21" t="s">
        <v>80</v>
      </c>
      <c r="D112" s="34"/>
      <c r="E112" s="34"/>
      <c r="F112" s="34"/>
      <c r="G112" s="18"/>
      <c r="H112" s="18">
        <v>3400</v>
      </c>
      <c r="I112" s="19"/>
      <c r="J112" s="20">
        <f t="shared" si="9"/>
        <v>0</v>
      </c>
      <c r="K112" s="20">
        <f t="shared" si="10"/>
        <v>64640.62000000001</v>
      </c>
    </row>
    <row r="113" spans="2:12" ht="18.75" x14ac:dyDescent="0.3">
      <c r="B113" s="49">
        <v>44530</v>
      </c>
      <c r="C113" s="24" t="s">
        <v>807</v>
      </c>
      <c r="D113" s="34">
        <v>9000</v>
      </c>
      <c r="E113" s="34"/>
      <c r="F113" s="34"/>
      <c r="G113" s="18"/>
      <c r="H113" s="18"/>
      <c r="I113" s="19"/>
      <c r="J113" s="20">
        <f t="shared" si="9"/>
        <v>0</v>
      </c>
      <c r="K113" s="20">
        <f t="shared" si="10"/>
        <v>73640.62000000001</v>
      </c>
    </row>
    <row r="114" spans="2:12" ht="18.75" x14ac:dyDescent="0.3">
      <c r="B114" s="49">
        <v>44530</v>
      </c>
      <c r="C114" s="24" t="s">
        <v>88</v>
      </c>
      <c r="D114" s="34"/>
      <c r="E114" s="18"/>
      <c r="F114" s="18"/>
      <c r="G114" s="18"/>
      <c r="H114" s="18">
        <v>9000</v>
      </c>
      <c r="I114" s="19"/>
      <c r="J114" s="20">
        <f t="shared" si="9"/>
        <v>0</v>
      </c>
      <c r="K114" s="20">
        <f t="shared" si="10"/>
        <v>64640.62000000001</v>
      </c>
    </row>
    <row r="115" spans="2:12" ht="18.75" x14ac:dyDescent="0.3">
      <c r="B115" s="49">
        <v>44530</v>
      </c>
      <c r="C115" s="24" t="s">
        <v>89</v>
      </c>
      <c r="D115" s="34"/>
      <c r="E115" s="18"/>
      <c r="F115" s="18"/>
      <c r="G115" s="18"/>
      <c r="H115" s="18">
        <v>33800</v>
      </c>
      <c r="I115" s="19"/>
      <c r="J115" s="20">
        <f t="shared" si="9"/>
        <v>0</v>
      </c>
      <c r="K115" s="20">
        <f t="shared" si="10"/>
        <v>30840.62000000001</v>
      </c>
    </row>
    <row r="116" spans="2:12" ht="19.5" thickBot="1" x14ac:dyDescent="0.35">
      <c r="B116" s="49">
        <v>44530</v>
      </c>
      <c r="C116" s="43" t="s">
        <v>84</v>
      </c>
      <c r="D116" s="34"/>
      <c r="E116" s="18"/>
      <c r="F116" s="18"/>
      <c r="G116" s="18"/>
      <c r="H116" s="18">
        <v>5650</v>
      </c>
      <c r="I116" s="19"/>
      <c r="J116" s="20">
        <f t="shared" si="9"/>
        <v>0</v>
      </c>
      <c r="K116" s="20">
        <f t="shared" si="10"/>
        <v>25190.62000000001</v>
      </c>
    </row>
    <row r="117" spans="2:12" ht="19.5" thickBot="1" x14ac:dyDescent="0.35">
      <c r="B117" s="25"/>
      <c r="C117" s="26" t="s">
        <v>0</v>
      </c>
      <c r="D117" s="27">
        <f>SUM(D107:D116)</f>
        <v>143250</v>
      </c>
      <c r="E117" s="28">
        <f>SUM(E107:E116)</f>
        <v>0</v>
      </c>
      <c r="F117" s="29">
        <f>SUM(D117:E117)</f>
        <v>143250</v>
      </c>
      <c r="G117" s="30">
        <f>SUM(G64:G116)</f>
        <v>0</v>
      </c>
      <c r="H117" s="27">
        <f>SUM(H107:H116)</f>
        <v>154158.70000000001</v>
      </c>
      <c r="I117" s="29">
        <f>SUM(G117:H117)</f>
        <v>154158.70000000001</v>
      </c>
      <c r="J117" s="31"/>
      <c r="K117" s="31"/>
      <c r="L117" s="1"/>
    </row>
    <row r="118" spans="2:12" ht="19.5" thickBot="1" x14ac:dyDescent="0.3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"/>
    </row>
    <row r="119" spans="2:12" ht="19.5" thickBot="1" x14ac:dyDescent="0.35">
      <c r="B119" s="5"/>
      <c r="C119" s="5"/>
      <c r="D119" s="5"/>
      <c r="E119" s="5"/>
      <c r="F119" s="5"/>
      <c r="G119" s="5"/>
      <c r="H119" s="5"/>
      <c r="I119" s="35" t="s">
        <v>7</v>
      </c>
      <c r="J119" s="35" t="s">
        <v>6</v>
      </c>
      <c r="K119" s="36" t="s">
        <v>0</v>
      </c>
      <c r="L119" s="1"/>
    </row>
    <row r="120" spans="2:12" ht="19.5" thickBot="1" x14ac:dyDescent="0.35">
      <c r="B120" s="5"/>
      <c r="C120" s="5"/>
      <c r="D120" s="5"/>
      <c r="E120" s="5"/>
      <c r="F120" s="5"/>
      <c r="G120" s="5"/>
      <c r="H120" s="5"/>
      <c r="I120" s="37">
        <v>0</v>
      </c>
      <c r="J120" s="37">
        <v>25190.62</v>
      </c>
      <c r="K120" s="31">
        <f>SUM(I120:J120)</f>
        <v>25190.62</v>
      </c>
      <c r="L120" s="1"/>
    </row>
    <row r="121" spans="2:12" x14ac:dyDescent="0.25">
      <c r="D121" s="1"/>
      <c r="E121" s="1"/>
      <c r="F121" s="1"/>
      <c r="G121" s="1"/>
      <c r="J121" s="1"/>
      <c r="L121" s="1"/>
    </row>
    <row r="122" spans="2:12" x14ac:dyDescent="0.25">
      <c r="D122" s="1"/>
      <c r="E122" s="1"/>
      <c r="F122" s="1"/>
      <c r="G122" s="1"/>
      <c r="J122" s="1"/>
      <c r="L122" s="1"/>
    </row>
    <row r="123" spans="2:12" x14ac:dyDescent="0.25">
      <c r="D123" s="1"/>
      <c r="E123" s="1"/>
      <c r="F123" s="1"/>
      <c r="G123" s="1"/>
      <c r="J123" s="1"/>
      <c r="L123" s="1"/>
    </row>
    <row r="124" spans="2:12" x14ac:dyDescent="0.25">
      <c r="D124" s="1"/>
      <c r="E124" s="1"/>
      <c r="F124" s="1"/>
      <c r="G124" s="1"/>
      <c r="J124" s="1"/>
      <c r="L124" s="1"/>
    </row>
    <row r="125" spans="2:12" x14ac:dyDescent="0.25">
      <c r="D125" s="1"/>
      <c r="E125" s="1"/>
      <c r="F125" s="1"/>
      <c r="G125" s="1"/>
      <c r="J125" s="1"/>
      <c r="L125" s="1"/>
    </row>
    <row r="126" spans="2:12" x14ac:dyDescent="0.25">
      <c r="D126" s="1"/>
      <c r="E126" s="1"/>
      <c r="F126" s="1"/>
      <c r="G126" s="1"/>
      <c r="J126" s="1"/>
      <c r="L126" s="1"/>
    </row>
    <row r="127" spans="2:12" x14ac:dyDescent="0.25">
      <c r="D127" s="1"/>
      <c r="E127" s="1"/>
      <c r="F127" s="1"/>
      <c r="G127" s="1"/>
      <c r="J127" s="1"/>
      <c r="L127" s="1"/>
    </row>
    <row r="128" spans="2:12" x14ac:dyDescent="0.25">
      <c r="D128" s="1"/>
      <c r="E128" s="1"/>
      <c r="F128" s="1"/>
      <c r="G128" s="1"/>
      <c r="J128" s="1"/>
      <c r="L128" s="1"/>
    </row>
    <row r="129" spans="4:12" x14ac:dyDescent="0.25">
      <c r="D129" s="1"/>
      <c r="E129" s="1"/>
      <c r="F129" s="1"/>
      <c r="G129" s="1"/>
      <c r="J129" s="1"/>
      <c r="L129" s="1"/>
    </row>
    <row r="130" spans="4:12" x14ac:dyDescent="0.25">
      <c r="D130" s="1"/>
      <c r="E130" s="1"/>
      <c r="F130" s="1"/>
      <c r="G130" s="1"/>
      <c r="J130" s="1"/>
      <c r="L130" s="1"/>
    </row>
    <row r="131" spans="4:12" x14ac:dyDescent="0.25">
      <c r="D131" s="1"/>
      <c r="E131" s="1"/>
      <c r="F131" s="1"/>
      <c r="G131" s="1"/>
      <c r="J131" s="1"/>
      <c r="L131" s="1"/>
    </row>
    <row r="132" spans="4:12" x14ac:dyDescent="0.25">
      <c r="D132" s="1"/>
      <c r="E132" s="1"/>
      <c r="F132" s="1"/>
      <c r="G132" s="1"/>
      <c r="J132" s="1"/>
      <c r="L132" s="1"/>
    </row>
    <row r="133" spans="4:12" x14ac:dyDescent="0.25">
      <c r="D133" s="1"/>
      <c r="E133" s="1"/>
      <c r="F133" s="1"/>
      <c r="G133" s="1"/>
      <c r="J133" s="1"/>
    </row>
    <row r="134" spans="4:12" x14ac:dyDescent="0.25">
      <c r="D134" s="1"/>
      <c r="E134" s="1"/>
      <c r="F134" s="1"/>
      <c r="G134" s="1"/>
      <c r="J134" s="1"/>
    </row>
    <row r="135" spans="4:12" x14ac:dyDescent="0.25">
      <c r="D135" s="1"/>
      <c r="E135" s="1"/>
      <c r="F135" s="1"/>
      <c r="G135" s="1"/>
      <c r="J135" s="1"/>
    </row>
    <row r="136" spans="4:12" x14ac:dyDescent="0.25">
      <c r="D136" s="1"/>
      <c r="E136" s="1"/>
      <c r="F136" s="1"/>
      <c r="G136" s="1"/>
      <c r="J136" s="1"/>
    </row>
    <row r="137" spans="4:12" x14ac:dyDescent="0.25">
      <c r="D137" s="1"/>
      <c r="E137" s="1"/>
      <c r="F137" s="1"/>
      <c r="G137" s="1"/>
      <c r="J137" s="1"/>
    </row>
    <row r="138" spans="4:12" x14ac:dyDescent="0.25">
      <c r="D138" s="1"/>
      <c r="E138" s="1"/>
      <c r="F138" s="1"/>
      <c r="G138" s="1"/>
      <c r="J138" s="1"/>
    </row>
    <row r="139" spans="4:12" x14ac:dyDescent="0.25">
      <c r="D139" s="1"/>
      <c r="E139" s="1"/>
      <c r="F139" s="1"/>
      <c r="G139" s="1"/>
      <c r="J139" s="1"/>
    </row>
    <row r="140" spans="4:12" x14ac:dyDescent="0.25">
      <c r="D140" s="1"/>
      <c r="E140" s="1"/>
      <c r="F140" s="1"/>
      <c r="G140" s="1"/>
      <c r="J140" s="1"/>
    </row>
    <row r="141" spans="4:12" x14ac:dyDescent="0.25">
      <c r="D141" s="1"/>
      <c r="E141" s="1"/>
      <c r="F141" s="1"/>
      <c r="G141" s="1"/>
      <c r="J141" s="1"/>
    </row>
    <row r="142" spans="4:12" x14ac:dyDescent="0.25">
      <c r="D142" s="1"/>
      <c r="E142" s="1"/>
      <c r="F142" s="1"/>
      <c r="G142" s="1"/>
      <c r="J142" s="1"/>
    </row>
    <row r="143" spans="4:12" x14ac:dyDescent="0.25">
      <c r="D143" s="1"/>
      <c r="E143" s="1"/>
      <c r="F143" s="1"/>
      <c r="G143" s="1"/>
      <c r="J143" s="1"/>
    </row>
    <row r="144" spans="4:12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173"/>
  <sheetViews>
    <sheetView tabSelected="1" zoomScale="80" zoomScaleNormal="80" workbookViewId="0">
      <pane ySplit="3" topLeftCell="A107" activePane="bottomLeft" state="frozen"/>
      <selection activeCell="B1" sqref="B1"/>
      <selection pane="bottomLeft" activeCell="H107" sqref="H107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5.85546875" bestFit="1" customWidth="1"/>
  </cols>
  <sheetData>
    <row r="1" spans="2:11" ht="19.5" thickBot="1" x14ac:dyDescent="0.35">
      <c r="B1" s="39"/>
      <c r="C1" s="6" t="s">
        <v>32</v>
      </c>
      <c r="D1" s="5"/>
      <c r="E1" s="5"/>
      <c r="F1" s="5"/>
      <c r="G1" s="5"/>
      <c r="H1" s="5"/>
      <c r="I1" s="5"/>
      <c r="J1" s="5"/>
      <c r="K1" s="5"/>
    </row>
    <row r="2" spans="2:11" ht="18.75" x14ac:dyDescent="0.3">
      <c r="B2" s="7" t="s">
        <v>1</v>
      </c>
      <c r="C2" s="7" t="s">
        <v>2</v>
      </c>
      <c r="D2" s="7" t="s">
        <v>3</v>
      </c>
      <c r="E2" s="7" t="s">
        <v>3</v>
      </c>
      <c r="F2" s="7" t="s">
        <v>8</v>
      </c>
      <c r="G2" s="7" t="s">
        <v>9</v>
      </c>
      <c r="H2" s="8" t="s">
        <v>9</v>
      </c>
      <c r="I2" s="8" t="s">
        <v>8</v>
      </c>
      <c r="J2" s="7" t="s">
        <v>7</v>
      </c>
      <c r="K2" s="8" t="s">
        <v>6</v>
      </c>
    </row>
    <row r="3" spans="2:11" ht="19.5" thickBot="1" x14ac:dyDescent="0.35">
      <c r="B3" s="9"/>
      <c r="C3" s="9"/>
      <c r="D3" s="9" t="s">
        <v>5</v>
      </c>
      <c r="E3" s="9" t="s">
        <v>7</v>
      </c>
      <c r="F3" s="9" t="s">
        <v>3</v>
      </c>
      <c r="G3" s="9" t="s">
        <v>7</v>
      </c>
      <c r="H3" s="10" t="s">
        <v>5</v>
      </c>
      <c r="I3" s="10" t="s">
        <v>4</v>
      </c>
      <c r="J3" s="9"/>
      <c r="K3" s="10"/>
    </row>
    <row r="4" spans="2:11" ht="18.75" x14ac:dyDescent="0.3">
      <c r="B4" s="52">
        <v>44530</v>
      </c>
      <c r="C4" s="12" t="s">
        <v>33</v>
      </c>
      <c r="D4" s="13"/>
      <c r="E4" s="14"/>
      <c r="F4" s="14"/>
      <c r="G4" s="14"/>
      <c r="H4" s="15"/>
      <c r="I4" s="16"/>
      <c r="J4" s="53">
        <v>0</v>
      </c>
      <c r="K4" s="53">
        <v>25190.62</v>
      </c>
    </row>
    <row r="5" spans="2:11" ht="18.75" x14ac:dyDescent="0.3">
      <c r="B5" s="11">
        <v>44531</v>
      </c>
      <c r="C5" s="40" t="s">
        <v>836</v>
      </c>
      <c r="D5" s="13"/>
      <c r="E5" s="14"/>
      <c r="F5" s="14"/>
      <c r="G5" s="14"/>
      <c r="H5" s="15">
        <v>300</v>
      </c>
      <c r="I5" s="16"/>
      <c r="J5" s="20">
        <f>+J4+E5-G5</f>
        <v>0</v>
      </c>
      <c r="K5" s="20">
        <f>+K4+D5-H5</f>
        <v>24890.62</v>
      </c>
    </row>
    <row r="6" spans="2:11" ht="18.75" x14ac:dyDescent="0.3">
      <c r="B6" s="11">
        <v>44531</v>
      </c>
      <c r="C6" s="17" t="s">
        <v>843</v>
      </c>
      <c r="D6" s="34"/>
      <c r="E6" s="18"/>
      <c r="F6" s="18"/>
      <c r="G6" s="18"/>
      <c r="H6" s="18">
        <v>2500</v>
      </c>
      <c r="I6" s="19"/>
      <c r="J6" s="20">
        <f t="shared" ref="J6:J45" si="0">+J5+E6-G6</f>
        <v>0</v>
      </c>
      <c r="K6" s="20">
        <f t="shared" ref="K6:K45" si="1">+K5+D6-H6</f>
        <v>22390.62</v>
      </c>
    </row>
    <row r="7" spans="2:11" ht="18.75" x14ac:dyDescent="0.3">
      <c r="B7" s="22">
        <v>44533</v>
      </c>
      <c r="C7" s="21" t="s">
        <v>837</v>
      </c>
      <c r="D7" s="34"/>
      <c r="E7" s="18"/>
      <c r="F7" s="18"/>
      <c r="G7" s="18"/>
      <c r="H7" s="18">
        <v>650</v>
      </c>
      <c r="I7" s="19"/>
      <c r="J7" s="20">
        <f t="shared" si="0"/>
        <v>0</v>
      </c>
      <c r="K7" s="20">
        <f t="shared" si="1"/>
        <v>21740.62</v>
      </c>
    </row>
    <row r="8" spans="2:11" ht="18.75" x14ac:dyDescent="0.3">
      <c r="B8" s="22">
        <v>44533</v>
      </c>
      <c r="C8" s="41" t="s">
        <v>838</v>
      </c>
      <c r="D8" s="34"/>
      <c r="E8" s="18"/>
      <c r="F8" s="18"/>
      <c r="G8" s="18"/>
      <c r="H8" s="18">
        <v>42</v>
      </c>
      <c r="I8" s="19"/>
      <c r="J8" s="20">
        <f t="shared" si="0"/>
        <v>0</v>
      </c>
      <c r="K8" s="20">
        <f t="shared" si="1"/>
        <v>21698.62</v>
      </c>
    </row>
    <row r="9" spans="2:11" ht="18.75" x14ac:dyDescent="0.3">
      <c r="B9" s="22">
        <v>44533</v>
      </c>
      <c r="C9" s="21" t="s">
        <v>839</v>
      </c>
      <c r="D9" s="34"/>
      <c r="E9" s="18"/>
      <c r="F9" s="18"/>
      <c r="G9" s="18"/>
      <c r="H9" s="18">
        <v>73</v>
      </c>
      <c r="I9" s="19"/>
      <c r="J9" s="20">
        <f t="shared" si="0"/>
        <v>0</v>
      </c>
      <c r="K9" s="20">
        <f t="shared" si="1"/>
        <v>21625.62</v>
      </c>
    </row>
    <row r="10" spans="2:11" ht="18.75" x14ac:dyDescent="0.3">
      <c r="B10" s="22">
        <v>44533</v>
      </c>
      <c r="C10" s="21" t="s">
        <v>486</v>
      </c>
      <c r="D10" s="34"/>
      <c r="E10" s="18"/>
      <c r="F10" s="18"/>
      <c r="G10" s="18"/>
      <c r="H10" s="18">
        <v>86</v>
      </c>
      <c r="I10" s="19"/>
      <c r="J10" s="20">
        <f t="shared" si="0"/>
        <v>0</v>
      </c>
      <c r="K10" s="20">
        <f t="shared" si="1"/>
        <v>21539.62</v>
      </c>
    </row>
    <row r="11" spans="2:11" ht="18.75" x14ac:dyDescent="0.3">
      <c r="B11" s="22">
        <v>44474</v>
      </c>
      <c r="C11" s="41" t="s">
        <v>171</v>
      </c>
      <c r="D11" s="34"/>
      <c r="E11" s="18"/>
      <c r="F11" s="18"/>
      <c r="G11" s="18"/>
      <c r="H11" s="18">
        <v>100</v>
      </c>
      <c r="I11" s="19"/>
      <c r="J11" s="20">
        <f t="shared" si="0"/>
        <v>0</v>
      </c>
      <c r="K11" s="20">
        <f t="shared" si="1"/>
        <v>21439.62</v>
      </c>
    </row>
    <row r="12" spans="2:11" ht="18.75" x14ac:dyDescent="0.3">
      <c r="B12" s="22">
        <v>44535</v>
      </c>
      <c r="C12" s="24" t="s">
        <v>840</v>
      </c>
      <c r="D12" s="34"/>
      <c r="E12" s="18"/>
      <c r="F12" s="18"/>
      <c r="G12" s="18"/>
      <c r="H12" s="18">
        <v>200</v>
      </c>
      <c r="I12" s="19"/>
      <c r="J12" s="20">
        <f t="shared" si="0"/>
        <v>0</v>
      </c>
      <c r="K12" s="20">
        <f t="shared" si="1"/>
        <v>21239.62</v>
      </c>
    </row>
    <row r="13" spans="2:11" ht="18.75" x14ac:dyDescent="0.3">
      <c r="B13" s="22">
        <v>44535</v>
      </c>
      <c r="C13" s="21" t="s">
        <v>793</v>
      </c>
      <c r="D13" s="34"/>
      <c r="E13" s="18"/>
      <c r="F13" s="18"/>
      <c r="G13" s="18"/>
      <c r="H13" s="18">
        <v>150</v>
      </c>
      <c r="I13" s="19"/>
      <c r="J13" s="20">
        <f t="shared" si="0"/>
        <v>0</v>
      </c>
      <c r="K13" s="20">
        <f t="shared" si="1"/>
        <v>21089.62</v>
      </c>
    </row>
    <row r="14" spans="2:11" ht="18.75" x14ac:dyDescent="0.3">
      <c r="B14" s="22">
        <v>44535</v>
      </c>
      <c r="C14" s="21" t="s">
        <v>538</v>
      </c>
      <c r="D14" s="34"/>
      <c r="E14" s="18"/>
      <c r="F14" s="18"/>
      <c r="G14" s="18"/>
      <c r="H14" s="18">
        <v>300</v>
      </c>
      <c r="I14" s="19"/>
      <c r="J14" s="20">
        <f t="shared" si="0"/>
        <v>0</v>
      </c>
      <c r="K14" s="20">
        <f t="shared" si="1"/>
        <v>20789.62</v>
      </c>
    </row>
    <row r="15" spans="2:11" ht="18.75" x14ac:dyDescent="0.3">
      <c r="B15" s="22">
        <v>44535</v>
      </c>
      <c r="C15" s="21" t="s">
        <v>838</v>
      </c>
      <c r="D15" s="34"/>
      <c r="E15" s="18"/>
      <c r="F15" s="18"/>
      <c r="G15" s="18"/>
      <c r="H15" s="18">
        <v>44.5</v>
      </c>
      <c r="I15" s="19"/>
      <c r="J15" s="20">
        <f t="shared" si="0"/>
        <v>0</v>
      </c>
      <c r="K15" s="20">
        <f t="shared" si="1"/>
        <v>20745.12</v>
      </c>
    </row>
    <row r="16" spans="2:11" ht="18.75" x14ac:dyDescent="0.3">
      <c r="B16" s="22">
        <v>44535</v>
      </c>
      <c r="C16" s="41" t="s">
        <v>841</v>
      </c>
      <c r="D16" s="34"/>
      <c r="E16" s="18"/>
      <c r="F16" s="18"/>
      <c r="G16" s="18"/>
      <c r="H16" s="18">
        <v>250</v>
      </c>
      <c r="I16" s="19"/>
      <c r="J16" s="20">
        <f t="shared" si="0"/>
        <v>0</v>
      </c>
      <c r="K16" s="20">
        <f t="shared" si="1"/>
        <v>20495.12</v>
      </c>
    </row>
    <row r="17" spans="2:13" ht="18.75" x14ac:dyDescent="0.3">
      <c r="B17" s="22">
        <v>44535</v>
      </c>
      <c r="C17" s="21" t="s">
        <v>43</v>
      </c>
      <c r="D17" s="34">
        <v>64750</v>
      </c>
      <c r="E17" s="18"/>
      <c r="F17" s="18"/>
      <c r="G17" s="18"/>
      <c r="H17" s="18"/>
      <c r="I17" s="19"/>
      <c r="J17" s="20">
        <f t="shared" si="0"/>
        <v>0</v>
      </c>
      <c r="K17" s="20">
        <f t="shared" si="1"/>
        <v>85245.119999999995</v>
      </c>
    </row>
    <row r="18" spans="2:13" ht="18.75" x14ac:dyDescent="0.3">
      <c r="B18" s="22">
        <v>44536</v>
      </c>
      <c r="C18" s="21" t="s">
        <v>842</v>
      </c>
      <c r="D18" s="34"/>
      <c r="E18" s="18"/>
      <c r="F18" s="18"/>
      <c r="G18" s="18"/>
      <c r="H18" s="18">
        <v>800</v>
      </c>
      <c r="I18" s="19"/>
      <c r="J18" s="20">
        <f t="shared" si="0"/>
        <v>0</v>
      </c>
      <c r="K18" s="20">
        <f t="shared" si="1"/>
        <v>84445.119999999995</v>
      </c>
    </row>
    <row r="19" spans="2:13" ht="18.75" x14ac:dyDescent="0.3">
      <c r="B19" s="22">
        <v>44536</v>
      </c>
      <c r="C19" s="21" t="s">
        <v>727</v>
      </c>
      <c r="D19" s="34"/>
      <c r="E19" s="18"/>
      <c r="F19" s="18"/>
      <c r="G19" s="18"/>
      <c r="H19" s="18">
        <v>300</v>
      </c>
      <c r="I19" s="19"/>
      <c r="J19" s="20">
        <f t="shared" si="0"/>
        <v>0</v>
      </c>
      <c r="K19" s="20">
        <f t="shared" si="1"/>
        <v>84145.12</v>
      </c>
    </row>
    <row r="20" spans="2:13" ht="18.75" x14ac:dyDescent="0.3">
      <c r="B20" s="22">
        <v>44536</v>
      </c>
      <c r="C20" s="21" t="s">
        <v>223</v>
      </c>
      <c r="D20" s="34"/>
      <c r="E20" s="18"/>
      <c r="F20" s="18"/>
      <c r="G20" s="18"/>
      <c r="H20" s="18">
        <v>455.18</v>
      </c>
      <c r="I20" s="19"/>
      <c r="J20" s="20">
        <f t="shared" si="0"/>
        <v>0</v>
      </c>
      <c r="K20" s="20">
        <f t="shared" si="1"/>
        <v>83689.94</v>
      </c>
    </row>
    <row r="21" spans="2:13" ht="18.75" x14ac:dyDescent="0.3">
      <c r="B21" s="22">
        <v>44536</v>
      </c>
      <c r="C21" s="21" t="s">
        <v>844</v>
      </c>
      <c r="D21" s="34"/>
      <c r="E21" s="18"/>
      <c r="F21" s="18"/>
      <c r="G21" s="18"/>
      <c r="H21" s="18">
        <v>98</v>
      </c>
      <c r="I21" s="19"/>
      <c r="J21" s="20">
        <f t="shared" si="0"/>
        <v>0</v>
      </c>
      <c r="K21" s="20">
        <f t="shared" si="1"/>
        <v>83591.94</v>
      </c>
    </row>
    <row r="22" spans="2:13" ht="18.75" x14ac:dyDescent="0.3">
      <c r="B22" s="22">
        <v>44202</v>
      </c>
      <c r="C22" s="21" t="s">
        <v>845</v>
      </c>
      <c r="D22" s="34"/>
      <c r="E22" s="18"/>
      <c r="F22" s="18"/>
      <c r="G22" s="18"/>
      <c r="H22" s="18">
        <v>150</v>
      </c>
      <c r="I22" s="19"/>
      <c r="J22" s="20">
        <f t="shared" si="0"/>
        <v>0</v>
      </c>
      <c r="K22" s="20">
        <f t="shared" si="1"/>
        <v>83441.94</v>
      </c>
    </row>
    <row r="23" spans="2:13" ht="18.75" x14ac:dyDescent="0.3">
      <c r="B23" s="22">
        <v>44536</v>
      </c>
      <c r="C23" s="21" t="s">
        <v>838</v>
      </c>
      <c r="D23" s="34"/>
      <c r="E23" s="18"/>
      <c r="F23" s="18"/>
      <c r="G23" s="18"/>
      <c r="H23" s="18">
        <v>42</v>
      </c>
      <c r="I23" s="19"/>
      <c r="J23" s="20">
        <f t="shared" si="0"/>
        <v>0</v>
      </c>
      <c r="K23" s="20">
        <f t="shared" si="1"/>
        <v>83399.94</v>
      </c>
    </row>
    <row r="24" spans="2:13" ht="18.75" x14ac:dyDescent="0.3">
      <c r="B24" s="22">
        <v>44537</v>
      </c>
      <c r="C24" s="21" t="s">
        <v>847</v>
      </c>
      <c r="D24" s="34"/>
      <c r="E24" s="34"/>
      <c r="F24" s="18"/>
      <c r="G24" s="18"/>
      <c r="H24" s="18">
        <v>102</v>
      </c>
      <c r="I24" s="19"/>
      <c r="J24" s="20">
        <f t="shared" si="0"/>
        <v>0</v>
      </c>
      <c r="K24" s="20">
        <f t="shared" si="1"/>
        <v>83297.94</v>
      </c>
    </row>
    <row r="25" spans="2:13" ht="18.75" x14ac:dyDescent="0.3">
      <c r="B25" s="22">
        <v>44537</v>
      </c>
      <c r="C25" s="21" t="s">
        <v>540</v>
      </c>
      <c r="D25" s="34"/>
      <c r="E25" s="34"/>
      <c r="F25" s="18"/>
      <c r="G25" s="18"/>
      <c r="H25" s="18">
        <v>150</v>
      </c>
      <c r="I25" s="19"/>
      <c r="J25" s="20">
        <f t="shared" si="0"/>
        <v>0</v>
      </c>
      <c r="K25" s="20">
        <f t="shared" si="1"/>
        <v>83147.94</v>
      </c>
    </row>
    <row r="26" spans="2:13" ht="18.75" x14ac:dyDescent="0.3">
      <c r="B26" s="42">
        <v>44538</v>
      </c>
      <c r="C26" s="21" t="s">
        <v>848</v>
      </c>
      <c r="D26" s="34"/>
      <c r="E26" s="34"/>
      <c r="F26" s="18"/>
      <c r="G26" s="18"/>
      <c r="H26" s="18">
        <v>778</v>
      </c>
      <c r="I26" s="19"/>
      <c r="J26" s="20">
        <f t="shared" si="0"/>
        <v>0</v>
      </c>
      <c r="K26" s="20">
        <f t="shared" si="1"/>
        <v>82369.94</v>
      </c>
    </row>
    <row r="27" spans="2:13" ht="18.75" x14ac:dyDescent="0.3">
      <c r="B27" s="46">
        <v>44538</v>
      </c>
      <c r="C27" s="21" t="s">
        <v>849</v>
      </c>
      <c r="D27" s="34"/>
      <c r="E27" s="34"/>
      <c r="F27" s="34"/>
      <c r="G27" s="18"/>
      <c r="H27" s="18">
        <v>418.06</v>
      </c>
      <c r="I27" s="19"/>
      <c r="J27" s="20">
        <f t="shared" si="0"/>
        <v>0</v>
      </c>
      <c r="K27" s="20">
        <f t="shared" si="1"/>
        <v>81951.88</v>
      </c>
    </row>
    <row r="28" spans="2:13" ht="18.75" x14ac:dyDescent="0.3">
      <c r="B28" s="44">
        <v>44539</v>
      </c>
      <c r="C28" s="33" t="s">
        <v>850</v>
      </c>
      <c r="D28" s="34"/>
      <c r="E28" s="34"/>
      <c r="F28" s="34"/>
      <c r="G28" s="34"/>
      <c r="H28" s="18">
        <v>110</v>
      </c>
      <c r="I28" s="19"/>
      <c r="J28" s="20">
        <f t="shared" si="0"/>
        <v>0</v>
      </c>
      <c r="K28" s="20">
        <f t="shared" si="1"/>
        <v>81841.88</v>
      </c>
    </row>
    <row r="29" spans="2:13" ht="18.75" x14ac:dyDescent="0.3">
      <c r="B29" s="42">
        <v>44540</v>
      </c>
      <c r="C29" s="33" t="s">
        <v>851</v>
      </c>
      <c r="D29" s="34"/>
      <c r="E29" s="18"/>
      <c r="F29" s="18"/>
      <c r="G29" s="18"/>
      <c r="H29" s="18">
        <v>350</v>
      </c>
      <c r="I29" s="19"/>
      <c r="J29" s="20">
        <f t="shared" si="0"/>
        <v>0</v>
      </c>
      <c r="K29" s="20">
        <f t="shared" si="1"/>
        <v>81491.88</v>
      </c>
    </row>
    <row r="30" spans="2:13" ht="18.75" x14ac:dyDescent="0.3">
      <c r="B30" s="42">
        <v>44540</v>
      </c>
      <c r="C30" s="54" t="s">
        <v>835</v>
      </c>
      <c r="D30" s="34"/>
      <c r="E30" s="18"/>
      <c r="F30" s="18"/>
      <c r="G30" s="18"/>
      <c r="H30" s="18">
        <v>1785</v>
      </c>
      <c r="I30" s="19"/>
      <c r="J30" s="20">
        <f t="shared" si="0"/>
        <v>0</v>
      </c>
      <c r="K30" s="20">
        <f t="shared" si="1"/>
        <v>79706.880000000005</v>
      </c>
    </row>
    <row r="31" spans="2:13" ht="18.75" x14ac:dyDescent="0.3">
      <c r="B31" s="42">
        <v>44540</v>
      </c>
      <c r="C31" s="43" t="s">
        <v>448</v>
      </c>
      <c r="D31" s="34"/>
      <c r="E31" s="18"/>
      <c r="F31" s="18"/>
      <c r="G31" s="18"/>
      <c r="H31" s="18">
        <v>3000</v>
      </c>
      <c r="I31" s="19"/>
      <c r="J31" s="20">
        <f t="shared" si="0"/>
        <v>0</v>
      </c>
      <c r="K31" s="20">
        <f t="shared" si="1"/>
        <v>76706.880000000005</v>
      </c>
      <c r="M31">
        <v>3000</v>
      </c>
    </row>
    <row r="32" spans="2:13" ht="18.75" x14ac:dyDescent="0.3">
      <c r="B32" s="44">
        <v>44540</v>
      </c>
      <c r="C32" s="33" t="s">
        <v>846</v>
      </c>
      <c r="D32" s="34"/>
      <c r="E32" s="18"/>
      <c r="F32" s="18"/>
      <c r="G32" s="18"/>
      <c r="H32" s="18">
        <v>22400</v>
      </c>
      <c r="I32" s="19"/>
      <c r="J32" s="20">
        <f t="shared" si="0"/>
        <v>0</v>
      </c>
      <c r="K32" s="20">
        <f t="shared" si="1"/>
        <v>54306.880000000005</v>
      </c>
    </row>
    <row r="33" spans="2:11" ht="18.75" x14ac:dyDescent="0.3">
      <c r="B33" s="42">
        <v>44540</v>
      </c>
      <c r="C33" s="33" t="s">
        <v>437</v>
      </c>
      <c r="D33" s="34"/>
      <c r="E33" s="18"/>
      <c r="F33" s="18"/>
      <c r="G33" s="18"/>
      <c r="H33" s="18">
        <v>172</v>
      </c>
      <c r="I33" s="19"/>
      <c r="J33" s="20">
        <f t="shared" si="0"/>
        <v>0</v>
      </c>
      <c r="K33" s="20">
        <f t="shared" si="1"/>
        <v>54134.880000000005</v>
      </c>
    </row>
    <row r="34" spans="2:11" ht="18.75" x14ac:dyDescent="0.3">
      <c r="B34" s="49">
        <v>44540</v>
      </c>
      <c r="C34" s="51" t="s">
        <v>852</v>
      </c>
      <c r="D34" s="34"/>
      <c r="E34" s="18"/>
      <c r="F34" s="18"/>
      <c r="G34" s="18"/>
      <c r="H34" s="18">
        <v>250</v>
      </c>
      <c r="I34" s="19"/>
      <c r="J34" s="20">
        <f t="shared" si="0"/>
        <v>0</v>
      </c>
      <c r="K34" s="20">
        <f t="shared" si="1"/>
        <v>53884.880000000005</v>
      </c>
    </row>
    <row r="35" spans="2:11" ht="18.75" x14ac:dyDescent="0.3">
      <c r="B35" s="42">
        <v>44540</v>
      </c>
      <c r="C35" s="33" t="s">
        <v>853</v>
      </c>
      <c r="D35" s="34"/>
      <c r="E35" s="18"/>
      <c r="F35" s="18"/>
      <c r="G35" s="18"/>
      <c r="H35" s="18">
        <v>1000</v>
      </c>
      <c r="I35" s="19"/>
      <c r="J35" s="20">
        <f t="shared" si="0"/>
        <v>0</v>
      </c>
      <c r="K35" s="20">
        <f t="shared" si="1"/>
        <v>52884.880000000005</v>
      </c>
    </row>
    <row r="36" spans="2:11" ht="18.75" x14ac:dyDescent="0.3">
      <c r="B36" s="57">
        <v>44540</v>
      </c>
      <c r="C36" s="43" t="s">
        <v>601</v>
      </c>
      <c r="D36" s="34"/>
      <c r="E36" s="18"/>
      <c r="F36" s="18"/>
      <c r="G36" s="18"/>
      <c r="H36" s="18">
        <v>108</v>
      </c>
      <c r="I36" s="19"/>
      <c r="J36" s="20">
        <f t="shared" si="0"/>
        <v>0</v>
      </c>
      <c r="K36" s="20">
        <f t="shared" si="1"/>
        <v>52776.880000000005</v>
      </c>
    </row>
    <row r="37" spans="2:11" ht="18.75" x14ac:dyDescent="0.3">
      <c r="B37" s="22">
        <v>44541</v>
      </c>
      <c r="C37" s="54" t="s">
        <v>854</v>
      </c>
      <c r="D37" s="34"/>
      <c r="E37" s="18"/>
      <c r="F37" s="18"/>
      <c r="G37" s="18"/>
      <c r="H37" s="18">
        <v>250</v>
      </c>
      <c r="I37" s="19"/>
      <c r="J37" s="20">
        <f t="shared" si="0"/>
        <v>0</v>
      </c>
      <c r="K37" s="20">
        <f t="shared" si="1"/>
        <v>52526.880000000005</v>
      </c>
    </row>
    <row r="38" spans="2:11" ht="18.75" x14ac:dyDescent="0.3">
      <c r="B38" s="42">
        <v>44542</v>
      </c>
      <c r="C38" s="33" t="s">
        <v>482</v>
      </c>
      <c r="D38" s="34"/>
      <c r="E38" s="18"/>
      <c r="F38" s="18"/>
      <c r="G38" s="18"/>
      <c r="H38" s="18">
        <v>100</v>
      </c>
      <c r="I38" s="19"/>
      <c r="J38" s="20">
        <f t="shared" si="0"/>
        <v>0</v>
      </c>
      <c r="K38" s="20">
        <f t="shared" si="1"/>
        <v>52426.880000000005</v>
      </c>
    </row>
    <row r="39" spans="2:11" ht="18.75" x14ac:dyDescent="0.3">
      <c r="B39" s="42">
        <v>44542</v>
      </c>
      <c r="C39" s="33" t="s">
        <v>413</v>
      </c>
      <c r="D39" s="34"/>
      <c r="E39" s="18"/>
      <c r="F39" s="18"/>
      <c r="G39" s="18"/>
      <c r="H39" s="18">
        <v>200</v>
      </c>
      <c r="I39" s="19"/>
      <c r="J39" s="20">
        <f t="shared" si="0"/>
        <v>0</v>
      </c>
      <c r="K39" s="20">
        <f t="shared" si="1"/>
        <v>52226.880000000005</v>
      </c>
    </row>
    <row r="40" spans="2:11" ht="18.75" x14ac:dyDescent="0.3">
      <c r="B40" s="42">
        <v>44542</v>
      </c>
      <c r="C40" s="33" t="s">
        <v>855</v>
      </c>
      <c r="D40" s="34"/>
      <c r="E40" s="34"/>
      <c r="F40" s="34"/>
      <c r="G40" s="34"/>
      <c r="H40" s="18">
        <v>150</v>
      </c>
      <c r="I40" s="19"/>
      <c r="J40" s="20">
        <f t="shared" si="0"/>
        <v>0</v>
      </c>
      <c r="K40" s="20">
        <f t="shared" si="1"/>
        <v>52076.880000000005</v>
      </c>
    </row>
    <row r="41" spans="2:11" ht="18.75" x14ac:dyDescent="0.3">
      <c r="B41" s="47">
        <v>44542</v>
      </c>
      <c r="C41" s="21" t="s">
        <v>856</v>
      </c>
      <c r="D41" s="34"/>
      <c r="E41" s="34"/>
      <c r="F41" s="34"/>
      <c r="G41" s="34"/>
      <c r="H41" s="18">
        <v>300</v>
      </c>
      <c r="I41" s="19"/>
      <c r="J41" s="20">
        <f t="shared" si="0"/>
        <v>0</v>
      </c>
      <c r="K41" s="20">
        <f t="shared" si="1"/>
        <v>51776.880000000005</v>
      </c>
    </row>
    <row r="42" spans="2:11" ht="18.75" x14ac:dyDescent="0.3">
      <c r="B42" s="47">
        <v>44542</v>
      </c>
      <c r="C42" s="21" t="s">
        <v>844</v>
      </c>
      <c r="D42" s="34"/>
      <c r="E42" s="34"/>
      <c r="F42" s="34"/>
      <c r="G42" s="34"/>
      <c r="H42" s="18">
        <v>184</v>
      </c>
      <c r="I42" s="19"/>
      <c r="J42" s="20">
        <f t="shared" si="0"/>
        <v>0</v>
      </c>
      <c r="K42" s="20">
        <f t="shared" si="1"/>
        <v>51592.880000000005</v>
      </c>
    </row>
    <row r="43" spans="2:11" ht="18.75" x14ac:dyDescent="0.3">
      <c r="B43" s="22">
        <v>44542</v>
      </c>
      <c r="C43" s="43" t="s">
        <v>727</v>
      </c>
      <c r="D43" s="18"/>
      <c r="E43" s="18"/>
      <c r="F43" s="18"/>
      <c r="G43" s="18"/>
      <c r="H43" s="18">
        <v>250</v>
      </c>
      <c r="I43" s="19"/>
      <c r="J43" s="20">
        <f t="shared" si="0"/>
        <v>0</v>
      </c>
      <c r="K43" s="20">
        <f t="shared" si="1"/>
        <v>51342.880000000005</v>
      </c>
    </row>
    <row r="44" spans="2:11" ht="18.75" x14ac:dyDescent="0.3">
      <c r="B44" s="44">
        <v>44542</v>
      </c>
      <c r="C44" s="43" t="s">
        <v>60</v>
      </c>
      <c r="D44" s="18">
        <v>34500</v>
      </c>
      <c r="E44" s="18"/>
      <c r="F44" s="18"/>
      <c r="G44" s="18"/>
      <c r="H44" s="18"/>
      <c r="I44" s="19"/>
      <c r="J44" s="20">
        <f t="shared" si="0"/>
        <v>0</v>
      </c>
      <c r="K44" s="20">
        <f t="shared" si="1"/>
        <v>85842.880000000005</v>
      </c>
    </row>
    <row r="45" spans="2:11" ht="18.75" x14ac:dyDescent="0.3">
      <c r="B45" s="44">
        <v>44543</v>
      </c>
      <c r="C45" s="43" t="s">
        <v>845</v>
      </c>
      <c r="D45" s="34"/>
      <c r="E45" s="18"/>
      <c r="F45" s="18"/>
      <c r="G45" s="18"/>
      <c r="H45" s="18">
        <v>250</v>
      </c>
      <c r="I45" s="19"/>
      <c r="J45" s="20">
        <f t="shared" si="0"/>
        <v>0</v>
      </c>
      <c r="K45" s="20">
        <f t="shared" si="1"/>
        <v>85592.88</v>
      </c>
    </row>
    <row r="46" spans="2:11" ht="18.75" x14ac:dyDescent="0.3">
      <c r="B46" s="44">
        <v>44544</v>
      </c>
      <c r="C46" s="43" t="s">
        <v>727</v>
      </c>
      <c r="D46" s="34"/>
      <c r="E46" s="18"/>
      <c r="F46" s="18"/>
      <c r="G46" s="18"/>
      <c r="H46" s="18">
        <v>206.9</v>
      </c>
      <c r="I46" s="19"/>
      <c r="J46" s="20">
        <f t="shared" ref="J46:J51" si="2">+J45+E46-G46</f>
        <v>0</v>
      </c>
      <c r="K46" s="20">
        <f t="shared" ref="K46:K51" si="3">+K45+D46-H46</f>
        <v>85385.98000000001</v>
      </c>
    </row>
    <row r="47" spans="2:11" ht="18.75" x14ac:dyDescent="0.3">
      <c r="B47" s="44">
        <v>44544</v>
      </c>
      <c r="C47" s="43" t="s">
        <v>857</v>
      </c>
      <c r="D47" s="34"/>
      <c r="E47" s="18"/>
      <c r="F47" s="18"/>
      <c r="G47" s="18"/>
      <c r="H47" s="18">
        <v>380</v>
      </c>
      <c r="I47" s="19"/>
      <c r="J47" s="20">
        <f t="shared" si="2"/>
        <v>0</v>
      </c>
      <c r="K47" s="20">
        <f t="shared" si="3"/>
        <v>85005.98000000001</v>
      </c>
    </row>
    <row r="48" spans="2:11" ht="18.75" x14ac:dyDescent="0.3">
      <c r="B48" s="44">
        <v>44544</v>
      </c>
      <c r="C48" s="43" t="s">
        <v>858</v>
      </c>
      <c r="D48" s="34"/>
      <c r="E48" s="18"/>
      <c r="F48" s="18"/>
      <c r="G48" s="18"/>
      <c r="H48" s="18">
        <v>2400</v>
      </c>
      <c r="I48" s="19"/>
      <c r="J48" s="20">
        <f t="shared" si="2"/>
        <v>0</v>
      </c>
      <c r="K48" s="20">
        <f t="shared" si="3"/>
        <v>82605.98000000001</v>
      </c>
    </row>
    <row r="49" spans="2:11" ht="18.75" x14ac:dyDescent="0.3">
      <c r="B49" s="44">
        <v>44544</v>
      </c>
      <c r="C49" s="43" t="s">
        <v>859</v>
      </c>
      <c r="D49" s="34"/>
      <c r="E49" s="18"/>
      <c r="F49" s="18"/>
      <c r="G49" s="18"/>
      <c r="H49" s="18">
        <v>150</v>
      </c>
      <c r="I49" s="19"/>
      <c r="J49" s="20">
        <f t="shared" si="2"/>
        <v>0</v>
      </c>
      <c r="K49" s="20">
        <f t="shared" si="3"/>
        <v>82455.98000000001</v>
      </c>
    </row>
    <row r="50" spans="2:11" ht="18.75" x14ac:dyDescent="0.3">
      <c r="B50" s="42">
        <v>44545</v>
      </c>
      <c r="C50" s="33" t="s">
        <v>170</v>
      </c>
      <c r="D50" s="34"/>
      <c r="E50" s="18"/>
      <c r="F50" s="18"/>
      <c r="G50" s="18"/>
      <c r="H50" s="18">
        <v>250</v>
      </c>
      <c r="I50" s="19"/>
      <c r="J50" s="20">
        <f t="shared" si="2"/>
        <v>0</v>
      </c>
      <c r="K50" s="20">
        <f t="shared" si="3"/>
        <v>82205.98000000001</v>
      </c>
    </row>
    <row r="51" spans="2:11" ht="19.5" thickBot="1" x14ac:dyDescent="0.35">
      <c r="B51" s="42">
        <v>44545</v>
      </c>
      <c r="C51" s="33" t="s">
        <v>171</v>
      </c>
      <c r="D51" s="34"/>
      <c r="E51" s="18"/>
      <c r="F51" s="18"/>
      <c r="G51" s="18"/>
      <c r="H51" s="18">
        <v>300</v>
      </c>
      <c r="I51" s="19"/>
      <c r="J51" s="20">
        <f t="shared" si="2"/>
        <v>0</v>
      </c>
      <c r="K51" s="20">
        <f t="shared" si="3"/>
        <v>81905.98000000001</v>
      </c>
    </row>
    <row r="52" spans="2:11" ht="19.5" thickBot="1" x14ac:dyDescent="0.35">
      <c r="B52" s="25"/>
      <c r="C52" s="26" t="s">
        <v>0</v>
      </c>
      <c r="D52" s="27">
        <f>SUM(D4:D51)</f>
        <v>99250</v>
      </c>
      <c r="E52" s="28">
        <f>SUM(E4:E51)</f>
        <v>0</v>
      </c>
      <c r="F52" s="29">
        <f>SUM(D52:E52)</f>
        <v>99250</v>
      </c>
      <c r="G52" s="30">
        <f>SUM(G4:G51)</f>
        <v>0</v>
      </c>
      <c r="H52" s="27">
        <f>SUM(H4:H51)</f>
        <v>42534.640000000007</v>
      </c>
      <c r="I52" s="29">
        <f>SUM(G52:H52)</f>
        <v>42534.640000000007</v>
      </c>
      <c r="J52" s="20"/>
      <c r="K52" s="20"/>
    </row>
    <row r="53" spans="2:11" ht="18.75" x14ac:dyDescent="0.3">
      <c r="B53" s="7" t="s">
        <v>1</v>
      </c>
      <c r="C53" s="7" t="s">
        <v>2</v>
      </c>
      <c r="D53" s="7" t="s">
        <v>3</v>
      </c>
      <c r="E53" s="7" t="s">
        <v>3</v>
      </c>
      <c r="F53" s="7" t="s">
        <v>8</v>
      </c>
      <c r="G53" s="7" t="s">
        <v>9</v>
      </c>
      <c r="H53" s="8" t="s">
        <v>9</v>
      </c>
      <c r="I53" s="8" t="s">
        <v>8</v>
      </c>
      <c r="J53" s="7" t="s">
        <v>7</v>
      </c>
      <c r="K53" s="8" t="s">
        <v>6</v>
      </c>
    </row>
    <row r="54" spans="2:11" ht="19.5" thickBot="1" x14ac:dyDescent="0.35">
      <c r="B54" s="9"/>
      <c r="C54" s="9"/>
      <c r="D54" s="9" t="s">
        <v>5</v>
      </c>
      <c r="E54" s="9" t="s">
        <v>7</v>
      </c>
      <c r="F54" s="9" t="s">
        <v>3</v>
      </c>
      <c r="G54" s="9" t="s">
        <v>7</v>
      </c>
      <c r="H54" s="10" t="s">
        <v>5</v>
      </c>
      <c r="I54" s="10" t="s">
        <v>4</v>
      </c>
      <c r="J54" s="9"/>
      <c r="K54" s="10"/>
    </row>
    <row r="55" spans="2:11" ht="19.5" thickBot="1" x14ac:dyDescent="0.35">
      <c r="B55" s="25"/>
      <c r="C55" s="26"/>
      <c r="D55" s="27">
        <v>99250</v>
      </c>
      <c r="E55" s="28">
        <v>0</v>
      </c>
      <c r="F55" s="29">
        <f>SUM(D55:E55)</f>
        <v>99250</v>
      </c>
      <c r="G55" s="30">
        <v>0</v>
      </c>
      <c r="H55" s="27">
        <v>42534.64</v>
      </c>
      <c r="I55" s="29">
        <f>SUM(G55:H55)</f>
        <v>42534.64</v>
      </c>
      <c r="J55" s="53">
        <v>0</v>
      </c>
      <c r="K55" s="53">
        <v>0</v>
      </c>
    </row>
    <row r="56" spans="2:11" ht="18.75" x14ac:dyDescent="0.3">
      <c r="B56" s="42">
        <v>44545</v>
      </c>
      <c r="C56" s="33" t="s">
        <v>172</v>
      </c>
      <c r="D56" s="34"/>
      <c r="E56" s="34"/>
      <c r="F56" s="34"/>
      <c r="G56" s="34"/>
      <c r="H56" s="18">
        <v>650</v>
      </c>
      <c r="I56" s="19"/>
      <c r="J56" s="20">
        <f>+J51+E56-G56</f>
        <v>0</v>
      </c>
      <c r="K56" s="20">
        <f>+K51+D56-H56</f>
        <v>81255.98000000001</v>
      </c>
    </row>
    <row r="57" spans="2:11" ht="18.75" x14ac:dyDescent="0.3">
      <c r="B57" s="47">
        <v>44545</v>
      </c>
      <c r="C57" s="21" t="s">
        <v>231</v>
      </c>
      <c r="D57" s="34"/>
      <c r="E57" s="34"/>
      <c r="F57" s="34"/>
      <c r="G57" s="34"/>
      <c r="H57" s="18">
        <v>3400</v>
      </c>
      <c r="I57" s="19"/>
      <c r="J57" s="20">
        <f>+J56+E57-G57</f>
        <v>0</v>
      </c>
      <c r="K57" s="20">
        <f>+K56+D57-H57</f>
        <v>77855.98000000001</v>
      </c>
    </row>
    <row r="58" spans="2:11" ht="18.75" x14ac:dyDescent="0.3">
      <c r="B58" s="22">
        <v>44545</v>
      </c>
      <c r="C58" s="43" t="s">
        <v>448</v>
      </c>
      <c r="D58" s="18"/>
      <c r="E58" s="18"/>
      <c r="F58" s="18"/>
      <c r="G58" s="18"/>
      <c r="H58" s="18">
        <v>6000</v>
      </c>
      <c r="I58" s="19"/>
      <c r="J58" s="20">
        <f t="shared" ref="J58:J111" si="4">+J57+E58-G58</f>
        <v>0</v>
      </c>
      <c r="K58" s="20">
        <f t="shared" ref="K58:K111" si="5">+K57+D58-H58</f>
        <v>71855.98000000001</v>
      </c>
    </row>
    <row r="59" spans="2:11" ht="18.75" x14ac:dyDescent="0.3">
      <c r="B59" s="44">
        <v>44545</v>
      </c>
      <c r="C59" s="43" t="s">
        <v>83</v>
      </c>
      <c r="D59" s="18"/>
      <c r="E59" s="18"/>
      <c r="F59" s="18"/>
      <c r="G59" s="18"/>
      <c r="H59" s="18">
        <v>33800</v>
      </c>
      <c r="I59" s="19"/>
      <c r="J59" s="20">
        <f t="shared" si="4"/>
        <v>0</v>
      </c>
      <c r="K59" s="20">
        <f t="shared" si="5"/>
        <v>38055.98000000001</v>
      </c>
    </row>
    <row r="60" spans="2:11" ht="18.75" x14ac:dyDescent="0.3">
      <c r="B60" s="44">
        <v>44545</v>
      </c>
      <c r="C60" s="43" t="s">
        <v>84</v>
      </c>
      <c r="D60" s="34"/>
      <c r="E60" s="18"/>
      <c r="F60" s="18"/>
      <c r="G60" s="18"/>
      <c r="H60" s="18">
        <v>5800</v>
      </c>
      <c r="I60" s="19"/>
      <c r="J60" s="20">
        <f t="shared" si="4"/>
        <v>0</v>
      </c>
      <c r="K60" s="20">
        <f t="shared" si="5"/>
        <v>32255.98000000001</v>
      </c>
    </row>
    <row r="61" spans="2:11" ht="18.75" x14ac:dyDescent="0.3">
      <c r="B61" s="22">
        <v>44546</v>
      </c>
      <c r="C61" s="43" t="s">
        <v>860</v>
      </c>
      <c r="D61" s="18"/>
      <c r="E61" s="18"/>
      <c r="F61" s="18"/>
      <c r="G61" s="18"/>
      <c r="H61" s="18">
        <v>7050</v>
      </c>
      <c r="I61" s="19"/>
      <c r="J61" s="20">
        <f t="shared" si="4"/>
        <v>0</v>
      </c>
      <c r="K61" s="20">
        <f t="shared" si="5"/>
        <v>25205.98000000001</v>
      </c>
    </row>
    <row r="62" spans="2:11" ht="18.75" x14ac:dyDescent="0.3">
      <c r="B62" s="44">
        <v>44546</v>
      </c>
      <c r="C62" s="43" t="s">
        <v>861</v>
      </c>
      <c r="D62" s="18"/>
      <c r="E62" s="18"/>
      <c r="F62" s="18"/>
      <c r="G62" s="18"/>
      <c r="H62" s="18">
        <v>1100</v>
      </c>
      <c r="I62" s="19"/>
      <c r="J62" s="20">
        <f t="shared" si="4"/>
        <v>0</v>
      </c>
      <c r="K62" s="20">
        <f t="shared" si="5"/>
        <v>24105.98000000001</v>
      </c>
    </row>
    <row r="63" spans="2:11" ht="18.75" x14ac:dyDescent="0.3">
      <c r="B63" s="44">
        <v>44546</v>
      </c>
      <c r="C63" s="43" t="s">
        <v>862</v>
      </c>
      <c r="D63" s="34"/>
      <c r="E63" s="18"/>
      <c r="F63" s="18"/>
      <c r="G63" s="18"/>
      <c r="H63" s="18">
        <v>350</v>
      </c>
      <c r="I63" s="19"/>
      <c r="J63" s="20">
        <f t="shared" si="4"/>
        <v>0</v>
      </c>
      <c r="K63" s="20">
        <f t="shared" si="5"/>
        <v>23755.98000000001</v>
      </c>
    </row>
    <row r="64" spans="2:11" ht="18.75" x14ac:dyDescent="0.3">
      <c r="B64" s="22">
        <v>44547</v>
      </c>
      <c r="C64" s="54" t="s">
        <v>863</v>
      </c>
      <c r="D64" s="34"/>
      <c r="E64" s="18"/>
      <c r="F64" s="18"/>
      <c r="G64" s="18"/>
      <c r="H64" s="18">
        <v>129</v>
      </c>
      <c r="I64" s="19"/>
      <c r="J64" s="20">
        <f t="shared" si="4"/>
        <v>0</v>
      </c>
      <c r="K64" s="20">
        <f t="shared" si="5"/>
        <v>23626.98000000001</v>
      </c>
    </row>
    <row r="65" spans="2:12" ht="18.75" x14ac:dyDescent="0.3">
      <c r="B65" s="42">
        <v>44547</v>
      </c>
      <c r="C65" s="33" t="s">
        <v>849</v>
      </c>
      <c r="D65" s="34"/>
      <c r="E65" s="18"/>
      <c r="F65" s="18"/>
      <c r="G65" s="18"/>
      <c r="H65" s="18">
        <v>575</v>
      </c>
      <c r="I65" s="19"/>
      <c r="J65" s="20">
        <f t="shared" si="4"/>
        <v>0</v>
      </c>
      <c r="K65" s="20">
        <f t="shared" si="5"/>
        <v>23051.98000000001</v>
      </c>
    </row>
    <row r="66" spans="2:12" ht="18.75" x14ac:dyDescent="0.3">
      <c r="B66" s="42">
        <v>44547</v>
      </c>
      <c r="C66" s="33" t="s">
        <v>223</v>
      </c>
      <c r="D66" s="34"/>
      <c r="E66" s="18"/>
      <c r="F66" s="18"/>
      <c r="G66" s="18"/>
      <c r="H66" s="18">
        <v>300</v>
      </c>
      <c r="I66" s="19"/>
      <c r="J66" s="20">
        <f t="shared" si="4"/>
        <v>0</v>
      </c>
      <c r="K66" s="20">
        <f t="shared" si="5"/>
        <v>22751.98000000001</v>
      </c>
    </row>
    <row r="67" spans="2:12" ht="18.75" x14ac:dyDescent="0.3">
      <c r="B67" s="42">
        <v>44549</v>
      </c>
      <c r="C67" s="33" t="s">
        <v>497</v>
      </c>
      <c r="D67" s="34"/>
      <c r="E67" s="34"/>
      <c r="F67" s="34"/>
      <c r="G67" s="34"/>
      <c r="H67" s="18">
        <v>100</v>
      </c>
      <c r="I67" s="19"/>
      <c r="J67" s="20">
        <f t="shared" si="4"/>
        <v>0</v>
      </c>
      <c r="K67" s="20">
        <f t="shared" si="5"/>
        <v>22651.98000000001</v>
      </c>
    </row>
    <row r="68" spans="2:12" ht="18.75" x14ac:dyDescent="0.3">
      <c r="B68" s="47">
        <v>44549</v>
      </c>
      <c r="C68" s="21" t="s">
        <v>864</v>
      </c>
      <c r="D68" s="34"/>
      <c r="E68" s="34"/>
      <c r="F68" s="34"/>
      <c r="G68" s="34"/>
      <c r="H68" s="18">
        <v>200</v>
      </c>
      <c r="I68" s="19"/>
      <c r="J68" s="20">
        <f t="shared" si="4"/>
        <v>0</v>
      </c>
      <c r="K68" s="20">
        <f t="shared" si="5"/>
        <v>22451.98000000001</v>
      </c>
    </row>
    <row r="69" spans="2:12" ht="18.75" x14ac:dyDescent="0.3">
      <c r="B69" s="22">
        <v>44549</v>
      </c>
      <c r="C69" s="43" t="s">
        <v>694</v>
      </c>
      <c r="D69" s="18"/>
      <c r="E69" s="18"/>
      <c r="F69" s="18"/>
      <c r="G69" s="18"/>
      <c r="H69" s="18">
        <v>150</v>
      </c>
      <c r="I69" s="19"/>
      <c r="J69" s="20">
        <f t="shared" si="4"/>
        <v>0</v>
      </c>
      <c r="K69" s="20">
        <f t="shared" si="5"/>
        <v>22301.98000000001</v>
      </c>
    </row>
    <row r="70" spans="2:12" ht="18.75" x14ac:dyDescent="0.3">
      <c r="B70" s="44">
        <v>44549</v>
      </c>
      <c r="C70" s="43" t="s">
        <v>487</v>
      </c>
      <c r="D70" s="18"/>
      <c r="E70" s="18"/>
      <c r="F70" s="18"/>
      <c r="G70" s="18"/>
      <c r="H70" s="18">
        <v>300</v>
      </c>
      <c r="I70" s="19"/>
      <c r="J70" s="20">
        <f t="shared" si="4"/>
        <v>0</v>
      </c>
      <c r="K70" s="20">
        <f t="shared" si="5"/>
        <v>22001.98000000001</v>
      </c>
    </row>
    <row r="71" spans="2:12" ht="18.75" x14ac:dyDescent="0.3">
      <c r="B71" s="44">
        <v>44549</v>
      </c>
      <c r="C71" s="43" t="s">
        <v>865</v>
      </c>
      <c r="D71" s="34"/>
      <c r="E71" s="18"/>
      <c r="F71" s="18"/>
      <c r="G71" s="18"/>
      <c r="H71" s="18">
        <v>200</v>
      </c>
      <c r="I71" s="19"/>
      <c r="J71" s="20">
        <f t="shared" si="4"/>
        <v>0</v>
      </c>
      <c r="K71" s="20">
        <f t="shared" si="5"/>
        <v>21801.98000000001</v>
      </c>
    </row>
    <row r="72" spans="2:12" ht="18.75" x14ac:dyDescent="0.3">
      <c r="B72" s="42">
        <v>44549</v>
      </c>
      <c r="C72" s="33" t="s">
        <v>866</v>
      </c>
      <c r="D72" s="34"/>
      <c r="E72" s="34"/>
      <c r="F72" s="34"/>
      <c r="G72" s="34"/>
      <c r="H72" s="18">
        <v>300</v>
      </c>
      <c r="I72" s="19"/>
      <c r="J72" s="20">
        <f t="shared" si="4"/>
        <v>0</v>
      </c>
      <c r="K72" s="20">
        <f t="shared" si="5"/>
        <v>21501.98000000001</v>
      </c>
    </row>
    <row r="73" spans="2:12" ht="18.75" x14ac:dyDescent="0.3">
      <c r="B73" s="42">
        <v>44549</v>
      </c>
      <c r="C73" s="43" t="s">
        <v>844</v>
      </c>
      <c r="D73" s="34"/>
      <c r="E73" s="34"/>
      <c r="F73" s="34"/>
      <c r="G73" s="34"/>
      <c r="H73" s="18">
        <v>116</v>
      </c>
      <c r="I73" s="19"/>
      <c r="J73" s="20">
        <f t="shared" si="4"/>
        <v>0</v>
      </c>
      <c r="K73" s="20">
        <f t="shared" si="5"/>
        <v>21385.98000000001</v>
      </c>
    </row>
    <row r="74" spans="2:12" ht="18.75" x14ac:dyDescent="0.3">
      <c r="B74" s="42">
        <v>44549</v>
      </c>
      <c r="C74" s="43" t="s">
        <v>90</v>
      </c>
      <c r="D74" s="18">
        <v>42000</v>
      </c>
      <c r="E74" s="18"/>
      <c r="F74" s="18"/>
      <c r="G74" s="18"/>
      <c r="H74" s="18"/>
      <c r="I74" s="19"/>
      <c r="J74" s="20">
        <f t="shared" si="4"/>
        <v>0</v>
      </c>
      <c r="K74" s="20">
        <f t="shared" si="5"/>
        <v>63385.98000000001</v>
      </c>
    </row>
    <row r="75" spans="2:12" ht="18.75" x14ac:dyDescent="0.3">
      <c r="B75" s="42">
        <v>44549</v>
      </c>
      <c r="C75" s="33" t="s">
        <v>844</v>
      </c>
      <c r="D75" s="18"/>
      <c r="E75" s="18"/>
      <c r="F75" s="18"/>
      <c r="G75" s="18"/>
      <c r="H75" s="18">
        <v>98</v>
      </c>
      <c r="I75" s="19"/>
      <c r="J75" s="20">
        <f t="shared" si="4"/>
        <v>0</v>
      </c>
      <c r="K75" s="20">
        <f t="shared" si="5"/>
        <v>63287.98000000001</v>
      </c>
    </row>
    <row r="76" spans="2:12" ht="18.75" x14ac:dyDescent="0.3">
      <c r="B76" s="46">
        <v>44550</v>
      </c>
      <c r="C76" s="43" t="s">
        <v>291</v>
      </c>
      <c r="D76" s="18"/>
      <c r="E76" s="18"/>
      <c r="F76" s="18"/>
      <c r="G76" s="18"/>
      <c r="H76" s="18">
        <v>200</v>
      </c>
      <c r="I76" s="19"/>
      <c r="J76" s="20">
        <f t="shared" si="4"/>
        <v>0</v>
      </c>
      <c r="K76" s="20">
        <f t="shared" si="5"/>
        <v>63087.98000000001</v>
      </c>
    </row>
    <row r="77" spans="2:12" ht="18.75" x14ac:dyDescent="0.3">
      <c r="B77" s="22">
        <v>44550</v>
      </c>
      <c r="C77" s="33" t="s">
        <v>867</v>
      </c>
      <c r="D77" s="18"/>
      <c r="E77" s="18"/>
      <c r="F77" s="18"/>
      <c r="G77" s="18"/>
      <c r="H77" s="18">
        <v>650</v>
      </c>
      <c r="I77" s="19"/>
      <c r="J77" s="20">
        <f t="shared" si="4"/>
        <v>0</v>
      </c>
      <c r="K77" s="20">
        <f t="shared" si="5"/>
        <v>62437.98000000001</v>
      </c>
    </row>
    <row r="78" spans="2:12" ht="18.75" x14ac:dyDescent="0.3">
      <c r="B78" s="22">
        <v>44550</v>
      </c>
      <c r="C78" s="51" t="s">
        <v>868</v>
      </c>
      <c r="D78" s="18"/>
      <c r="E78" s="18"/>
      <c r="F78" s="18"/>
      <c r="G78" s="18"/>
      <c r="H78" s="18">
        <v>300</v>
      </c>
      <c r="I78" s="19"/>
      <c r="J78" s="20">
        <f t="shared" si="4"/>
        <v>0</v>
      </c>
      <c r="K78" s="20">
        <f t="shared" si="5"/>
        <v>62137.98000000001</v>
      </c>
      <c r="L78" s="1"/>
    </row>
    <row r="79" spans="2:12" ht="18.75" x14ac:dyDescent="0.3">
      <c r="B79" s="22">
        <v>44551</v>
      </c>
      <c r="C79" s="51" t="s">
        <v>870</v>
      </c>
      <c r="D79" s="34"/>
      <c r="E79" s="18"/>
      <c r="F79" s="18"/>
      <c r="G79" s="18"/>
      <c r="H79" s="18">
        <v>1250</v>
      </c>
      <c r="I79" s="19"/>
      <c r="J79" s="20">
        <f t="shared" si="4"/>
        <v>0</v>
      </c>
      <c r="K79" s="20">
        <f t="shared" si="5"/>
        <v>60887.98000000001</v>
      </c>
      <c r="L79" s="1"/>
    </row>
    <row r="80" spans="2:12" ht="18.75" x14ac:dyDescent="0.3">
      <c r="B80" s="44">
        <v>44551</v>
      </c>
      <c r="C80" s="51" t="s">
        <v>871</v>
      </c>
      <c r="D80" s="34"/>
      <c r="E80" s="18"/>
      <c r="F80" s="18"/>
      <c r="G80" s="18"/>
      <c r="H80" s="18">
        <v>300</v>
      </c>
      <c r="I80" s="19"/>
      <c r="J80" s="20">
        <f t="shared" si="4"/>
        <v>0</v>
      </c>
      <c r="K80" s="20">
        <f t="shared" si="5"/>
        <v>60587.98000000001</v>
      </c>
      <c r="L80" s="1"/>
    </row>
    <row r="81" spans="2:12" ht="18.75" x14ac:dyDescent="0.3">
      <c r="B81" s="47">
        <v>44551</v>
      </c>
      <c r="C81" s="43" t="s">
        <v>381</v>
      </c>
      <c r="D81" s="34"/>
      <c r="E81" s="18"/>
      <c r="F81" s="18"/>
      <c r="G81" s="18"/>
      <c r="H81" s="18">
        <v>114</v>
      </c>
      <c r="I81" s="19"/>
      <c r="J81" s="20">
        <f t="shared" si="4"/>
        <v>0</v>
      </c>
      <c r="K81" s="20">
        <f t="shared" si="5"/>
        <v>60473.98000000001</v>
      </c>
    </row>
    <row r="82" spans="2:12" ht="18.75" x14ac:dyDescent="0.3">
      <c r="B82" s="47">
        <v>44551</v>
      </c>
      <c r="C82" s="43" t="s">
        <v>896</v>
      </c>
      <c r="D82" s="34"/>
      <c r="E82" s="18"/>
      <c r="F82" s="18"/>
      <c r="G82" s="18"/>
      <c r="H82" s="18">
        <v>329</v>
      </c>
      <c r="I82" s="19"/>
      <c r="J82" s="20">
        <f t="shared" si="4"/>
        <v>0</v>
      </c>
      <c r="K82" s="20">
        <f t="shared" si="5"/>
        <v>60144.98000000001</v>
      </c>
    </row>
    <row r="83" spans="2:12" ht="18.75" x14ac:dyDescent="0.3">
      <c r="B83" s="47">
        <v>44551</v>
      </c>
      <c r="C83" s="21" t="s">
        <v>897</v>
      </c>
      <c r="D83" s="34"/>
      <c r="E83" s="18"/>
      <c r="F83" s="18"/>
      <c r="G83" s="18"/>
      <c r="H83" s="18">
        <v>1066</v>
      </c>
      <c r="I83" s="19"/>
      <c r="J83" s="20">
        <f t="shared" si="4"/>
        <v>0</v>
      </c>
      <c r="K83" s="20">
        <f t="shared" si="5"/>
        <v>59078.98000000001</v>
      </c>
    </row>
    <row r="84" spans="2:12" ht="18.75" x14ac:dyDescent="0.3">
      <c r="B84" s="47">
        <v>44551</v>
      </c>
      <c r="C84" s="43" t="s">
        <v>872</v>
      </c>
      <c r="D84" s="34"/>
      <c r="E84" s="18"/>
      <c r="F84" s="18"/>
      <c r="G84" s="18"/>
      <c r="H84" s="18">
        <v>450</v>
      </c>
      <c r="I84" s="19"/>
      <c r="J84" s="20">
        <f t="shared" si="4"/>
        <v>0</v>
      </c>
      <c r="K84" s="20">
        <f t="shared" si="5"/>
        <v>58628.98000000001</v>
      </c>
    </row>
    <row r="85" spans="2:12" ht="18.75" x14ac:dyDescent="0.3">
      <c r="B85" s="47">
        <v>44551</v>
      </c>
      <c r="C85" s="43" t="s">
        <v>873</v>
      </c>
      <c r="D85" s="34"/>
      <c r="E85" s="18"/>
      <c r="F85" s="18"/>
      <c r="G85" s="18"/>
      <c r="H85" s="18">
        <v>600</v>
      </c>
      <c r="I85" s="19"/>
      <c r="J85" s="20">
        <f t="shared" si="4"/>
        <v>0</v>
      </c>
      <c r="K85" s="20">
        <f t="shared" si="5"/>
        <v>58028.98000000001</v>
      </c>
    </row>
    <row r="86" spans="2:12" ht="18.75" x14ac:dyDescent="0.3">
      <c r="B86" s="47">
        <v>44552</v>
      </c>
      <c r="C86" s="43" t="s">
        <v>326</v>
      </c>
      <c r="D86" s="34"/>
      <c r="E86" s="18"/>
      <c r="F86" s="18"/>
      <c r="G86" s="18"/>
      <c r="H86" s="18">
        <v>306</v>
      </c>
      <c r="I86" s="19"/>
      <c r="J86" s="20">
        <f t="shared" si="4"/>
        <v>0</v>
      </c>
      <c r="K86" s="20">
        <f t="shared" si="5"/>
        <v>57722.98000000001</v>
      </c>
    </row>
    <row r="87" spans="2:12" ht="18.75" x14ac:dyDescent="0.3">
      <c r="B87" s="47">
        <v>44522</v>
      </c>
      <c r="C87" s="43" t="s">
        <v>874</v>
      </c>
      <c r="D87" s="34"/>
      <c r="E87" s="18"/>
      <c r="F87" s="18"/>
      <c r="G87" s="18"/>
      <c r="H87" s="18">
        <v>650</v>
      </c>
      <c r="I87" s="19"/>
      <c r="J87" s="20">
        <f t="shared" si="4"/>
        <v>0</v>
      </c>
      <c r="K87" s="20">
        <f t="shared" si="5"/>
        <v>57072.98000000001</v>
      </c>
    </row>
    <row r="88" spans="2:12" ht="18.75" x14ac:dyDescent="0.3">
      <c r="B88" s="47">
        <v>44553</v>
      </c>
      <c r="C88" s="43" t="s">
        <v>875</v>
      </c>
      <c r="D88" s="34"/>
      <c r="E88" s="18"/>
      <c r="F88" s="18"/>
      <c r="G88" s="18"/>
      <c r="H88" s="18">
        <v>100</v>
      </c>
      <c r="I88" s="19"/>
      <c r="J88" s="20">
        <f t="shared" si="4"/>
        <v>0</v>
      </c>
      <c r="K88" s="20">
        <f t="shared" si="5"/>
        <v>56972.98000000001</v>
      </c>
    </row>
    <row r="89" spans="2:12" ht="18.75" x14ac:dyDescent="0.3">
      <c r="B89" s="47">
        <v>44554</v>
      </c>
      <c r="C89" s="43" t="s">
        <v>876</v>
      </c>
      <c r="D89" s="34"/>
      <c r="E89" s="18"/>
      <c r="F89" s="18"/>
      <c r="G89" s="18"/>
      <c r="H89" s="18">
        <v>172</v>
      </c>
      <c r="I89" s="19"/>
      <c r="J89" s="20">
        <f t="shared" si="4"/>
        <v>0</v>
      </c>
      <c r="K89" s="20">
        <f t="shared" si="5"/>
        <v>56800.98000000001</v>
      </c>
    </row>
    <row r="90" spans="2:12" ht="18.75" x14ac:dyDescent="0.3">
      <c r="B90" s="48">
        <v>44554</v>
      </c>
      <c r="C90" s="21" t="s">
        <v>877</v>
      </c>
      <c r="D90" s="34"/>
      <c r="E90" s="18"/>
      <c r="F90" s="18"/>
      <c r="G90" s="18"/>
      <c r="H90" s="18">
        <v>650</v>
      </c>
      <c r="I90" s="19"/>
      <c r="J90" s="20">
        <f t="shared" si="4"/>
        <v>0</v>
      </c>
      <c r="K90" s="20">
        <f t="shared" si="5"/>
        <v>56150.98000000001</v>
      </c>
    </row>
    <row r="91" spans="2:12" ht="18.75" x14ac:dyDescent="0.3">
      <c r="B91" s="48">
        <v>44556</v>
      </c>
      <c r="C91" s="21" t="s">
        <v>878</v>
      </c>
      <c r="D91" s="34"/>
      <c r="E91" s="18"/>
      <c r="F91" s="18"/>
      <c r="G91" s="18"/>
      <c r="H91" s="18">
        <v>200</v>
      </c>
      <c r="I91" s="19"/>
      <c r="J91" s="20">
        <f t="shared" si="4"/>
        <v>0</v>
      </c>
      <c r="K91" s="20">
        <f t="shared" si="5"/>
        <v>55950.98000000001</v>
      </c>
    </row>
    <row r="92" spans="2:12" ht="18.75" x14ac:dyDescent="0.3">
      <c r="B92" s="48">
        <v>44556</v>
      </c>
      <c r="C92" s="105" t="s">
        <v>879</v>
      </c>
      <c r="D92" s="50"/>
      <c r="E92" s="18"/>
      <c r="F92" s="18"/>
      <c r="G92" s="18"/>
      <c r="H92" s="18">
        <v>200</v>
      </c>
      <c r="I92" s="19"/>
      <c r="J92" s="20">
        <f t="shared" si="4"/>
        <v>0</v>
      </c>
      <c r="K92" s="20">
        <f t="shared" si="5"/>
        <v>55750.98000000001</v>
      </c>
    </row>
    <row r="93" spans="2:12" ht="18.75" x14ac:dyDescent="0.3">
      <c r="B93" s="49">
        <v>44556</v>
      </c>
      <c r="C93" s="17" t="s">
        <v>880</v>
      </c>
      <c r="D93" s="34"/>
      <c r="E93" s="34"/>
      <c r="F93" s="34"/>
      <c r="G93" s="34"/>
      <c r="H93" s="18">
        <v>150</v>
      </c>
      <c r="I93" s="19"/>
      <c r="J93" s="20">
        <f t="shared" si="4"/>
        <v>0</v>
      </c>
      <c r="K93" s="20">
        <f t="shared" si="5"/>
        <v>55600.98000000001</v>
      </c>
    </row>
    <row r="94" spans="2:12" ht="18.75" x14ac:dyDescent="0.3">
      <c r="B94" s="49">
        <v>44556</v>
      </c>
      <c r="C94" s="33" t="s">
        <v>881</v>
      </c>
      <c r="D94" s="18"/>
      <c r="E94" s="18"/>
      <c r="F94" s="18"/>
      <c r="G94" s="18"/>
      <c r="H94" s="18">
        <v>350</v>
      </c>
      <c r="I94" s="19"/>
      <c r="J94" s="20">
        <f t="shared" si="4"/>
        <v>0</v>
      </c>
      <c r="K94" s="20">
        <f t="shared" si="5"/>
        <v>55250.98000000001</v>
      </c>
      <c r="L94" s="1"/>
    </row>
    <row r="95" spans="2:12" ht="18.75" x14ac:dyDescent="0.3">
      <c r="B95" s="49">
        <v>44556</v>
      </c>
      <c r="C95" s="43" t="s">
        <v>309</v>
      </c>
      <c r="D95" s="34">
        <v>45250</v>
      </c>
      <c r="E95" s="18"/>
      <c r="F95" s="18"/>
      <c r="G95" s="18"/>
      <c r="H95" s="18"/>
      <c r="I95" s="19"/>
      <c r="J95" s="20">
        <f t="shared" si="4"/>
        <v>0</v>
      </c>
      <c r="K95" s="20">
        <f t="shared" si="5"/>
        <v>100500.98000000001</v>
      </c>
    </row>
    <row r="96" spans="2:12" ht="18.75" x14ac:dyDescent="0.3">
      <c r="B96" s="49">
        <v>44556</v>
      </c>
      <c r="C96" s="21" t="s">
        <v>300</v>
      </c>
      <c r="D96" s="34"/>
      <c r="E96" s="18"/>
      <c r="F96" s="18"/>
      <c r="G96" s="18"/>
      <c r="H96" s="18">
        <v>14.5</v>
      </c>
      <c r="I96" s="19"/>
      <c r="J96" s="20">
        <f t="shared" si="4"/>
        <v>0</v>
      </c>
      <c r="K96" s="20">
        <f t="shared" si="5"/>
        <v>100486.48000000001</v>
      </c>
    </row>
    <row r="97" spans="2:12" ht="18.75" x14ac:dyDescent="0.3">
      <c r="B97" s="49">
        <v>44557</v>
      </c>
      <c r="C97" s="21" t="s">
        <v>882</v>
      </c>
      <c r="D97" s="34"/>
      <c r="E97" s="18"/>
      <c r="F97" s="18"/>
      <c r="G97" s="18"/>
      <c r="H97" s="18">
        <v>10000</v>
      </c>
      <c r="I97" s="19"/>
      <c r="J97" s="20">
        <f t="shared" ref="J97:J103" si="6">+J96+E97-G97</f>
        <v>0</v>
      </c>
      <c r="K97" s="20">
        <f t="shared" ref="K97:K103" si="7">+K96+D97-H97</f>
        <v>90486.48000000001</v>
      </c>
    </row>
    <row r="98" spans="2:12" ht="18.75" x14ac:dyDescent="0.3">
      <c r="B98" s="49">
        <v>44558</v>
      </c>
      <c r="C98" s="21" t="s">
        <v>883</v>
      </c>
      <c r="D98" s="34"/>
      <c r="E98" s="18"/>
      <c r="F98" s="18"/>
      <c r="G98" s="18"/>
      <c r="H98" s="18">
        <v>171.36</v>
      </c>
      <c r="I98" s="19"/>
      <c r="J98" s="20">
        <f t="shared" si="6"/>
        <v>0</v>
      </c>
      <c r="K98" s="20">
        <f t="shared" si="7"/>
        <v>90315.12000000001</v>
      </c>
    </row>
    <row r="99" spans="2:12" ht="18.75" x14ac:dyDescent="0.3">
      <c r="B99" s="49">
        <v>44558</v>
      </c>
      <c r="C99" s="21" t="s">
        <v>884</v>
      </c>
      <c r="D99" s="34"/>
      <c r="E99" s="18"/>
      <c r="F99" s="18"/>
      <c r="G99" s="18"/>
      <c r="H99" s="18">
        <v>200</v>
      </c>
      <c r="I99" s="19"/>
      <c r="J99" s="20">
        <f t="shared" si="6"/>
        <v>0</v>
      </c>
      <c r="K99" s="20">
        <f t="shared" si="7"/>
        <v>90115.12000000001</v>
      </c>
    </row>
    <row r="100" spans="2:12" ht="18.75" x14ac:dyDescent="0.3">
      <c r="B100" s="49">
        <v>44558</v>
      </c>
      <c r="C100" s="21" t="s">
        <v>885</v>
      </c>
      <c r="D100" s="34"/>
      <c r="E100" s="18"/>
      <c r="F100" s="18"/>
      <c r="G100" s="18"/>
      <c r="H100" s="18">
        <v>500</v>
      </c>
      <c r="I100" s="19"/>
      <c r="J100" s="20">
        <f t="shared" si="6"/>
        <v>0</v>
      </c>
      <c r="K100" s="20">
        <f t="shared" si="7"/>
        <v>89615.12000000001</v>
      </c>
    </row>
    <row r="101" spans="2:12" ht="18.75" x14ac:dyDescent="0.3">
      <c r="B101" s="49">
        <v>44559</v>
      </c>
      <c r="C101" s="21" t="s">
        <v>886</v>
      </c>
      <c r="D101" s="34"/>
      <c r="E101" s="18"/>
      <c r="F101" s="18"/>
      <c r="G101" s="18"/>
      <c r="H101" s="18">
        <v>350</v>
      </c>
      <c r="I101" s="19"/>
      <c r="J101" s="20">
        <f t="shared" si="6"/>
        <v>0</v>
      </c>
      <c r="K101" s="20">
        <f t="shared" si="7"/>
        <v>89265.12000000001</v>
      </c>
    </row>
    <row r="102" spans="2:12" ht="18.75" x14ac:dyDescent="0.3">
      <c r="B102" s="49">
        <v>44559</v>
      </c>
      <c r="C102" s="33" t="s">
        <v>349</v>
      </c>
      <c r="D102" s="34"/>
      <c r="E102" s="34"/>
      <c r="F102" s="34"/>
      <c r="G102" s="34"/>
      <c r="H102" s="18">
        <v>250</v>
      </c>
      <c r="I102" s="19"/>
      <c r="J102" s="20">
        <f t="shared" si="6"/>
        <v>0</v>
      </c>
      <c r="K102" s="20">
        <f t="shared" si="7"/>
        <v>89015.12000000001</v>
      </c>
    </row>
    <row r="103" spans="2:12" ht="19.5" thickBot="1" x14ac:dyDescent="0.35">
      <c r="B103" s="49">
        <v>44559</v>
      </c>
      <c r="C103" s="43" t="s">
        <v>887</v>
      </c>
      <c r="D103" s="18"/>
      <c r="E103" s="18"/>
      <c r="F103" s="18"/>
      <c r="G103" s="18"/>
      <c r="H103" s="18">
        <v>26</v>
      </c>
      <c r="I103" s="19"/>
      <c r="J103" s="20">
        <f t="shared" si="6"/>
        <v>0</v>
      </c>
      <c r="K103" s="20">
        <f t="shared" si="7"/>
        <v>88989.12000000001</v>
      </c>
    </row>
    <row r="104" spans="2:12" ht="19.5" thickBot="1" x14ac:dyDescent="0.35">
      <c r="B104" s="25"/>
      <c r="C104" s="26" t="s">
        <v>0</v>
      </c>
      <c r="D104" s="27">
        <f>SUM(D55:D103)</f>
        <v>186500</v>
      </c>
      <c r="E104" s="28">
        <f>SUM(E55:E103)</f>
        <v>0</v>
      </c>
      <c r="F104" s="29">
        <f>SUM(D104:E104)</f>
        <v>186500</v>
      </c>
      <c r="G104" s="30">
        <f>SUM(G55:G103)</f>
        <v>0</v>
      </c>
      <c r="H104" s="27">
        <f>SUM(H55:H103)</f>
        <v>122701.5</v>
      </c>
      <c r="I104" s="29">
        <f>SUM(G104:H104)</f>
        <v>122701.5</v>
      </c>
      <c r="J104" s="20"/>
      <c r="K104" s="20"/>
    </row>
    <row r="105" spans="2:12" ht="18.75" x14ac:dyDescent="0.3">
      <c r="B105" s="7" t="s">
        <v>1</v>
      </c>
      <c r="C105" s="7" t="s">
        <v>2</v>
      </c>
      <c r="D105" s="7" t="s">
        <v>3</v>
      </c>
      <c r="E105" s="7" t="s">
        <v>3</v>
      </c>
      <c r="F105" s="7" t="s">
        <v>8</v>
      </c>
      <c r="G105" s="7" t="s">
        <v>9</v>
      </c>
      <c r="H105" s="8" t="s">
        <v>9</v>
      </c>
      <c r="I105" s="8" t="s">
        <v>8</v>
      </c>
      <c r="J105" s="7" t="s">
        <v>7</v>
      </c>
      <c r="K105" s="8" t="s">
        <v>6</v>
      </c>
      <c r="L105" s="1"/>
    </row>
    <row r="106" spans="2:12" ht="19.5" thickBot="1" x14ac:dyDescent="0.35">
      <c r="B106" s="9"/>
      <c r="C106" s="9"/>
      <c r="D106" s="9" t="s">
        <v>5</v>
      </c>
      <c r="E106" s="9" t="s">
        <v>7</v>
      </c>
      <c r="F106" s="9" t="s">
        <v>3</v>
      </c>
      <c r="G106" s="9" t="s">
        <v>7</v>
      </c>
      <c r="H106" s="10" t="s">
        <v>5</v>
      </c>
      <c r="I106" s="10" t="s">
        <v>4</v>
      </c>
      <c r="J106" s="9"/>
      <c r="K106" s="10"/>
    </row>
    <row r="107" spans="2:12" ht="19.5" thickBot="1" x14ac:dyDescent="0.35">
      <c r="B107" s="25"/>
      <c r="C107" s="26"/>
      <c r="D107" s="27">
        <v>186500</v>
      </c>
      <c r="E107" s="28">
        <v>0</v>
      </c>
      <c r="F107" s="29">
        <f>SUM(D107:E107)</f>
        <v>186500</v>
      </c>
      <c r="G107" s="30">
        <v>0</v>
      </c>
      <c r="H107" s="27">
        <v>122701.5</v>
      </c>
      <c r="I107" s="29">
        <f>SUM(G107:H107)</f>
        <v>122701.5</v>
      </c>
      <c r="J107" s="53">
        <v>0</v>
      </c>
      <c r="K107" s="53">
        <v>0</v>
      </c>
      <c r="L107" s="3"/>
    </row>
    <row r="108" spans="2:12" ht="18.75" x14ac:dyDescent="0.3">
      <c r="B108" s="49">
        <v>44559</v>
      </c>
      <c r="C108" s="21" t="s">
        <v>888</v>
      </c>
      <c r="D108" s="34"/>
      <c r="E108" s="18"/>
      <c r="F108" s="34"/>
      <c r="G108" s="18"/>
      <c r="H108" s="18">
        <v>50</v>
      </c>
      <c r="I108" s="19"/>
      <c r="J108" s="20">
        <f>+J103+E108-G108</f>
        <v>0</v>
      </c>
      <c r="K108" s="20">
        <f>+K103+D108-H108</f>
        <v>88939.12000000001</v>
      </c>
    </row>
    <row r="109" spans="2:12" ht="18.75" x14ac:dyDescent="0.3">
      <c r="B109" s="49">
        <v>44559</v>
      </c>
      <c r="C109" s="21" t="s">
        <v>889</v>
      </c>
      <c r="D109" s="34"/>
      <c r="E109" s="18"/>
      <c r="F109" s="34"/>
      <c r="G109" s="18"/>
      <c r="H109" s="18">
        <v>100</v>
      </c>
      <c r="I109" s="19"/>
      <c r="J109" s="20">
        <f t="shared" si="4"/>
        <v>0</v>
      </c>
      <c r="K109" s="20">
        <f t="shared" si="5"/>
        <v>88839.12000000001</v>
      </c>
    </row>
    <row r="110" spans="2:12" ht="18.75" x14ac:dyDescent="0.3">
      <c r="B110" s="49">
        <v>44559</v>
      </c>
      <c r="C110" s="21" t="s">
        <v>890</v>
      </c>
      <c r="D110" s="34"/>
      <c r="E110" s="18"/>
      <c r="F110" s="34"/>
      <c r="G110" s="18"/>
      <c r="H110" s="18">
        <v>207.9</v>
      </c>
      <c r="I110" s="19"/>
      <c r="J110" s="20">
        <f t="shared" si="4"/>
        <v>0</v>
      </c>
      <c r="K110" s="20">
        <f t="shared" si="5"/>
        <v>88631.220000000016</v>
      </c>
    </row>
    <row r="111" spans="2:12" ht="18.75" x14ac:dyDescent="0.3">
      <c r="B111" s="49">
        <v>44561</v>
      </c>
      <c r="C111" s="33" t="s">
        <v>891</v>
      </c>
      <c r="D111" s="34"/>
      <c r="E111" s="34"/>
      <c r="F111" s="34"/>
      <c r="G111" s="34"/>
      <c r="H111" s="18">
        <v>650</v>
      </c>
      <c r="I111" s="19"/>
      <c r="J111" s="20">
        <f t="shared" si="4"/>
        <v>0</v>
      </c>
      <c r="K111" s="20">
        <f t="shared" si="5"/>
        <v>87981.220000000016</v>
      </c>
    </row>
    <row r="112" spans="2:12" ht="18.75" x14ac:dyDescent="0.3">
      <c r="B112" s="49">
        <v>44561</v>
      </c>
      <c r="C112" s="43" t="s">
        <v>892</v>
      </c>
      <c r="D112" s="18"/>
      <c r="E112" s="18"/>
      <c r="F112" s="18"/>
      <c r="G112" s="18"/>
      <c r="H112" s="18">
        <v>215</v>
      </c>
      <c r="I112" s="19"/>
      <c r="J112" s="20">
        <f t="shared" ref="J112:J124" si="8">+J111+E112-G112</f>
        <v>0</v>
      </c>
      <c r="K112" s="20">
        <f t="shared" ref="K112:K124" si="9">+K111+D112-H112</f>
        <v>87766.220000000016</v>
      </c>
    </row>
    <row r="113" spans="2:12" ht="18.75" x14ac:dyDescent="0.3">
      <c r="B113" s="49">
        <v>44561</v>
      </c>
      <c r="C113" s="17" t="s">
        <v>894</v>
      </c>
      <c r="D113" s="34"/>
      <c r="E113" s="34"/>
      <c r="F113" s="34"/>
      <c r="G113" s="18"/>
      <c r="H113" s="18">
        <v>150</v>
      </c>
      <c r="I113" s="19"/>
      <c r="J113" s="20">
        <f t="shared" si="8"/>
        <v>0</v>
      </c>
      <c r="K113" s="20">
        <f t="shared" si="9"/>
        <v>87616.220000000016</v>
      </c>
    </row>
    <row r="114" spans="2:12" ht="18.75" x14ac:dyDescent="0.3">
      <c r="B114" s="49">
        <v>44561</v>
      </c>
      <c r="C114" s="17" t="s">
        <v>893</v>
      </c>
      <c r="D114" s="34"/>
      <c r="E114" s="34"/>
      <c r="F114" s="34"/>
      <c r="G114" s="18"/>
      <c r="H114" s="106">
        <v>5800</v>
      </c>
      <c r="I114" s="19"/>
      <c r="J114" s="20">
        <f t="shared" si="8"/>
        <v>0</v>
      </c>
      <c r="K114" s="20">
        <f t="shared" si="9"/>
        <v>81816.220000000016</v>
      </c>
    </row>
    <row r="115" spans="2:12" ht="18.75" x14ac:dyDescent="0.3">
      <c r="B115" s="49">
        <v>44561</v>
      </c>
      <c r="C115" s="17" t="s">
        <v>895</v>
      </c>
      <c r="D115" s="34"/>
      <c r="E115" s="34"/>
      <c r="F115" s="34"/>
      <c r="G115" s="18"/>
      <c r="H115" s="18">
        <v>650</v>
      </c>
      <c r="I115" s="19"/>
      <c r="J115" s="20">
        <f t="shared" si="8"/>
        <v>0</v>
      </c>
      <c r="K115" s="20">
        <f t="shared" si="9"/>
        <v>81166.220000000016</v>
      </c>
    </row>
    <row r="116" spans="2:12" ht="18.75" x14ac:dyDescent="0.3">
      <c r="B116" s="49">
        <v>44561</v>
      </c>
      <c r="C116" s="21" t="s">
        <v>184</v>
      </c>
      <c r="D116" s="34"/>
      <c r="E116" s="34"/>
      <c r="F116" s="34"/>
      <c r="G116" s="18"/>
      <c r="H116" s="18">
        <v>250</v>
      </c>
      <c r="I116" s="19"/>
      <c r="J116" s="20">
        <f t="shared" si="8"/>
        <v>0</v>
      </c>
      <c r="K116" s="20">
        <f t="shared" si="9"/>
        <v>80916.220000000016</v>
      </c>
    </row>
    <row r="117" spans="2:12" ht="18.75" x14ac:dyDescent="0.3">
      <c r="B117" s="49">
        <v>44561</v>
      </c>
      <c r="C117" s="21" t="s">
        <v>711</v>
      </c>
      <c r="D117" s="34"/>
      <c r="E117" s="34"/>
      <c r="F117" s="34"/>
      <c r="G117" s="18"/>
      <c r="H117" s="18">
        <v>300</v>
      </c>
      <c r="I117" s="19"/>
      <c r="J117" s="20">
        <f t="shared" si="8"/>
        <v>0</v>
      </c>
      <c r="K117" s="20">
        <f t="shared" si="9"/>
        <v>80616.220000000016</v>
      </c>
    </row>
    <row r="118" spans="2:12" ht="18.75" x14ac:dyDescent="0.3">
      <c r="B118" s="49">
        <v>44561</v>
      </c>
      <c r="C118" s="21" t="s">
        <v>186</v>
      </c>
      <c r="D118" s="34"/>
      <c r="E118" s="34"/>
      <c r="F118" s="34"/>
      <c r="G118" s="18"/>
      <c r="H118" s="18">
        <v>650</v>
      </c>
      <c r="I118" s="19"/>
      <c r="J118" s="20">
        <f t="shared" si="8"/>
        <v>0</v>
      </c>
      <c r="K118" s="20">
        <f t="shared" si="9"/>
        <v>79966.220000000016</v>
      </c>
    </row>
    <row r="119" spans="2:12" ht="18.75" x14ac:dyDescent="0.3">
      <c r="B119" s="49">
        <v>44561</v>
      </c>
      <c r="C119" s="21" t="s">
        <v>80</v>
      </c>
      <c r="D119" s="34"/>
      <c r="E119" s="34"/>
      <c r="F119" s="34"/>
      <c r="G119" s="18"/>
      <c r="H119" s="18">
        <v>3400</v>
      </c>
      <c r="I119" s="19"/>
      <c r="J119" s="20">
        <f t="shared" si="8"/>
        <v>0</v>
      </c>
      <c r="K119" s="20">
        <f t="shared" si="9"/>
        <v>76566.220000000016</v>
      </c>
    </row>
    <row r="120" spans="2:12" ht="18.75" x14ac:dyDescent="0.3">
      <c r="B120" s="49">
        <v>44561</v>
      </c>
      <c r="C120" s="24" t="s">
        <v>807</v>
      </c>
      <c r="D120" s="34"/>
      <c r="E120" s="34"/>
      <c r="F120" s="34"/>
      <c r="G120" s="18"/>
      <c r="H120" s="18">
        <v>33800</v>
      </c>
      <c r="I120" s="19"/>
      <c r="J120" s="20">
        <f t="shared" si="8"/>
        <v>0</v>
      </c>
      <c r="K120" s="20">
        <f t="shared" si="9"/>
        <v>42766.220000000016</v>
      </c>
    </row>
    <row r="121" spans="2:12" ht="18.75" x14ac:dyDescent="0.3">
      <c r="B121" s="49">
        <v>44561</v>
      </c>
      <c r="C121" s="24" t="s">
        <v>88</v>
      </c>
      <c r="D121" s="34">
        <v>9000</v>
      </c>
      <c r="E121" s="18"/>
      <c r="F121" s="18"/>
      <c r="G121" s="18"/>
      <c r="H121" s="18"/>
      <c r="I121" s="19"/>
      <c r="J121" s="20">
        <f t="shared" si="8"/>
        <v>0</v>
      </c>
      <c r="K121" s="20">
        <f t="shared" si="9"/>
        <v>51766.220000000016</v>
      </c>
    </row>
    <row r="122" spans="2:12" ht="18.75" x14ac:dyDescent="0.3">
      <c r="B122" s="49">
        <v>44561</v>
      </c>
      <c r="C122" s="24" t="s">
        <v>89</v>
      </c>
      <c r="D122" s="34"/>
      <c r="E122" s="18"/>
      <c r="F122" s="18"/>
      <c r="G122" s="18"/>
      <c r="H122" s="18">
        <v>9000</v>
      </c>
      <c r="I122" s="19"/>
      <c r="J122" s="20">
        <f t="shared" si="8"/>
        <v>0</v>
      </c>
      <c r="K122" s="20">
        <f t="shared" si="9"/>
        <v>42766.220000000016</v>
      </c>
    </row>
    <row r="123" spans="2:12" ht="18.75" x14ac:dyDescent="0.3">
      <c r="B123" s="49">
        <v>44561</v>
      </c>
      <c r="C123" s="43" t="s">
        <v>84</v>
      </c>
      <c r="D123" s="34"/>
      <c r="E123" s="18"/>
      <c r="F123" s="18"/>
      <c r="G123" s="18"/>
      <c r="H123" s="18">
        <v>5950</v>
      </c>
      <c r="I123" s="19"/>
      <c r="J123" s="20">
        <f t="shared" si="8"/>
        <v>0</v>
      </c>
      <c r="K123" s="20">
        <f t="shared" si="9"/>
        <v>36816.220000000016</v>
      </c>
    </row>
    <row r="124" spans="2:12" ht="19.5" thickBot="1" x14ac:dyDescent="0.35">
      <c r="B124" s="49"/>
      <c r="C124" s="17"/>
      <c r="D124" s="34"/>
      <c r="E124" s="34"/>
      <c r="F124" s="34"/>
      <c r="G124" s="18"/>
      <c r="H124" s="18"/>
      <c r="I124" s="19"/>
      <c r="J124" s="20">
        <f t="shared" si="8"/>
        <v>0</v>
      </c>
      <c r="K124" s="20">
        <f t="shared" si="9"/>
        <v>36816.220000000016</v>
      </c>
    </row>
    <row r="125" spans="2:12" ht="19.5" thickBot="1" x14ac:dyDescent="0.35">
      <c r="B125" s="25"/>
      <c r="C125" s="26" t="s">
        <v>0</v>
      </c>
      <c r="D125" s="27">
        <f>SUM(D107:D124)</f>
        <v>195500</v>
      </c>
      <c r="E125" s="28">
        <f>SUM(E107:E124)</f>
        <v>0</v>
      </c>
      <c r="F125" s="29">
        <f>SUM(D125:E125)</f>
        <v>195500</v>
      </c>
      <c r="G125" s="30">
        <f>SUM(G64:G124)</f>
        <v>0</v>
      </c>
      <c r="H125" s="27">
        <f>SUM(H107:H124)</f>
        <v>183874.4</v>
      </c>
      <c r="I125" s="29">
        <f>SUM(G125:H125)</f>
        <v>183874.4</v>
      </c>
      <c r="J125" s="31"/>
      <c r="K125" s="31"/>
      <c r="L125" s="1"/>
    </row>
    <row r="126" spans="2:12" ht="19.5" thickBot="1" x14ac:dyDescent="0.3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"/>
    </row>
    <row r="127" spans="2:12" ht="19.5" thickBot="1" x14ac:dyDescent="0.35">
      <c r="B127" s="5"/>
      <c r="C127" s="5"/>
      <c r="D127" s="5"/>
      <c r="E127" s="5"/>
      <c r="F127" s="5"/>
      <c r="G127" s="5"/>
      <c r="H127" s="5"/>
      <c r="I127" s="35" t="s">
        <v>7</v>
      </c>
      <c r="J127" s="35" t="s">
        <v>6</v>
      </c>
      <c r="K127" s="36" t="s">
        <v>0</v>
      </c>
      <c r="L127" s="1"/>
    </row>
    <row r="128" spans="2:12" ht="19.5" thickBot="1" x14ac:dyDescent="0.35">
      <c r="B128" s="5"/>
      <c r="C128" s="5"/>
      <c r="D128" s="5"/>
      <c r="E128" s="5"/>
      <c r="F128" s="5"/>
      <c r="G128" s="5"/>
      <c r="H128" s="5"/>
      <c r="I128" s="37">
        <v>0</v>
      </c>
      <c r="J128" s="37">
        <v>36816.22</v>
      </c>
      <c r="K128" s="31">
        <f>SUM(I128:J128)</f>
        <v>36816.22</v>
      </c>
      <c r="L128" s="1"/>
    </row>
    <row r="129" spans="4:12" x14ac:dyDescent="0.25">
      <c r="D129" s="1"/>
      <c r="E129" s="1"/>
      <c r="F129" s="1"/>
      <c r="G129" s="1"/>
      <c r="J129" s="1"/>
      <c r="L129" s="1"/>
    </row>
    <row r="130" spans="4:12" x14ac:dyDescent="0.25">
      <c r="D130" s="1"/>
      <c r="E130" s="1"/>
      <c r="F130" s="1"/>
      <c r="G130" s="1"/>
      <c r="J130" s="1"/>
      <c r="L130" s="1"/>
    </row>
    <row r="131" spans="4:12" x14ac:dyDescent="0.25">
      <c r="D131" s="1"/>
      <c r="E131" s="1"/>
      <c r="F131" s="1"/>
      <c r="G131" s="1"/>
      <c r="H131" t="s">
        <v>869</v>
      </c>
      <c r="J131" s="1"/>
      <c r="L131" s="1"/>
    </row>
    <row r="132" spans="4:12" x14ac:dyDescent="0.25">
      <c r="D132" s="1"/>
      <c r="E132" s="1"/>
      <c r="F132" s="1"/>
      <c r="G132" s="1"/>
      <c r="J132" s="1"/>
      <c r="L132" s="1"/>
    </row>
    <row r="133" spans="4:12" x14ac:dyDescent="0.25">
      <c r="D133" s="1"/>
      <c r="E133" s="1"/>
      <c r="F133" s="1"/>
      <c r="G133" s="1"/>
      <c r="J133" s="1"/>
      <c r="L133" s="1"/>
    </row>
    <row r="134" spans="4:12" x14ac:dyDescent="0.25">
      <c r="D134" s="1"/>
      <c r="E134" s="1"/>
      <c r="F134" s="1"/>
      <c r="G134" s="1"/>
      <c r="J134" s="1"/>
      <c r="L134" s="1"/>
    </row>
    <row r="135" spans="4:12" x14ac:dyDescent="0.25">
      <c r="D135" s="1"/>
      <c r="E135" s="1"/>
      <c r="F135" s="1"/>
      <c r="G135" s="1"/>
      <c r="J135" s="1"/>
      <c r="L135" s="1"/>
    </row>
    <row r="136" spans="4:12" x14ac:dyDescent="0.25">
      <c r="D136" s="1"/>
      <c r="E136" s="1"/>
      <c r="F136" s="1"/>
      <c r="G136" s="1"/>
      <c r="J136" s="1"/>
      <c r="L136" s="1"/>
    </row>
    <row r="137" spans="4:12" x14ac:dyDescent="0.25">
      <c r="D137" s="1"/>
      <c r="E137" s="1"/>
      <c r="F137" s="1"/>
      <c r="G137" s="1"/>
      <c r="J137" s="1"/>
      <c r="L137" s="1"/>
    </row>
    <row r="138" spans="4:12" x14ac:dyDescent="0.25">
      <c r="D138" s="1"/>
      <c r="E138" s="1"/>
      <c r="F138" s="1"/>
      <c r="G138" s="1"/>
      <c r="J138" s="1"/>
      <c r="L138" s="1"/>
    </row>
    <row r="139" spans="4:12" x14ac:dyDescent="0.25">
      <c r="D139" s="1"/>
      <c r="E139" s="1"/>
      <c r="F139" s="1"/>
      <c r="G139" s="1"/>
      <c r="J139" s="1"/>
      <c r="L139" s="1"/>
    </row>
    <row r="140" spans="4:12" x14ac:dyDescent="0.25">
      <c r="D140" s="1"/>
      <c r="E140" s="1"/>
      <c r="F140" s="1"/>
      <c r="G140" s="1"/>
      <c r="J140" s="1"/>
      <c r="L140" s="1"/>
    </row>
    <row r="141" spans="4:12" x14ac:dyDescent="0.25">
      <c r="D141" s="1"/>
      <c r="E141" s="1"/>
      <c r="F141" s="1"/>
      <c r="G141" s="1"/>
      <c r="J141" s="1"/>
      <c r="L141" s="1"/>
    </row>
    <row r="142" spans="4:12" x14ac:dyDescent="0.25">
      <c r="D142" s="1"/>
      <c r="E142" s="1"/>
      <c r="F142" s="1"/>
      <c r="G142" s="1"/>
      <c r="J142" s="1"/>
    </row>
    <row r="143" spans="4:12" x14ac:dyDescent="0.25">
      <c r="D143" s="1"/>
      <c r="E143" s="1"/>
      <c r="F143" s="1"/>
      <c r="G143" s="1"/>
      <c r="J143" s="1"/>
    </row>
    <row r="144" spans="4:12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ENERO-21 </vt:lpstr>
      <vt:lpstr>FEBRERO-21 </vt:lpstr>
      <vt:lpstr>MARZO-21</vt:lpstr>
      <vt:lpstr>ABRIL-21</vt:lpstr>
      <vt:lpstr>MAYO-21</vt:lpstr>
      <vt:lpstr>JUNIO-21</vt:lpstr>
      <vt:lpstr>JULIO-21</vt:lpstr>
      <vt:lpstr>AGOSTO-21</vt:lpstr>
      <vt:lpstr>SEPTIEMBRE-21 </vt:lpstr>
      <vt:lpstr>OCTUBRE-21</vt:lpstr>
      <vt:lpstr>NOVIEMBRE-21</vt:lpstr>
      <vt:lpstr>DICIEMBRE-21</vt:lpstr>
      <vt:lpstr>Hoja1</vt:lpstr>
      <vt:lpstr>'ABRIL-21'!Área_de_impresión</vt:lpstr>
      <vt:lpstr>'AGOSTO-21'!Área_de_impresión</vt:lpstr>
      <vt:lpstr>'DICIEMBRE-21'!Área_de_impresión</vt:lpstr>
      <vt:lpstr>'ENERO-21 '!Área_de_impresión</vt:lpstr>
      <vt:lpstr>'FEBRERO-21 '!Área_de_impresión</vt:lpstr>
      <vt:lpstr>'JULIO-21'!Área_de_impresión</vt:lpstr>
      <vt:lpstr>'JUNIO-21'!Área_de_impresión</vt:lpstr>
      <vt:lpstr>'MARZO-21'!Área_de_impresión</vt:lpstr>
      <vt:lpstr>'MAYO-21'!Área_de_impresión</vt:lpstr>
      <vt:lpstr>'NOVIEMBRE-21'!Área_de_impresión</vt:lpstr>
      <vt:lpstr>'OCTUBRE-21'!Área_de_impresión</vt:lpstr>
      <vt:lpstr>'SEPTIEMBRE-21 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2022-01-25T23:40:22Z</cp:lastPrinted>
  <dcterms:created xsi:type="dcterms:W3CDTF">2014-03-03T21:03:38Z</dcterms:created>
  <dcterms:modified xsi:type="dcterms:W3CDTF">2022-01-29T00:08:26Z</dcterms:modified>
</cp:coreProperties>
</file>